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2316d5feb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C &amp; Petunjuk" sheetId="1" r:id="R6034b0795f6142a3"/>
    <x:sheet xmlns:r="http://schemas.openxmlformats.org/officeDocument/2006/relationships" name="Rekap Skenario S1-S12" sheetId="2" r:id="R6e17b3268c7b4228"/>
    <x:sheet xmlns:r="http://schemas.openxmlformats.org/officeDocument/2006/relationships" name="LLM vs SecLists (PSR)" sheetId="3" r:id="R497f2966545a4985"/>
    <x:sheet xmlns:r="http://schemas.openxmlformats.org/officeDocument/2006/relationships" name="RAG On vs Off (FPR)" sheetId="4" r:id="Rc570079382564d1a"/>
    <x:sheet xmlns:r="http://schemas.openxmlformats.org/officeDocument/2006/relationships" name="Log Rinci Payload" sheetId="5" r:id="R5c4729a51ae7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yyyy-mm-dd hh:mm"/>
    <x:numFmt numFmtId="203" formatCode="0"/>
    <x:numFmt numFmtId="204" formatCode="0.00"/>
  </x:numFmts>
  <x:fonts count="6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b/>
      <x:sz val="10"/>
      <x:color rgb="FF17365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6DCE4"/>
      </x:patternFill>
    </x:fill>
    <x:fill>
      <x:patternFill patternType="solid">
        <x:fgColor rgb="FFDCE6F1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4F7FB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1" fontId="4" fillId="3" borderId="0" xfId="0" applyNumberFormat="1" applyFont="1" applyFill="1" applyBorder="1"/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2" fontId="1" fillId="4" borderId="0" xfId="0" applyNumberFormat="1" applyFont="1" applyFill="1" applyBorder="1"/>
    <x:xf numFmtId="202" fontId="0" fillId="4" borderId="0" xfId="0" applyNumberFormat="1" applyFont="1" applyFill="1" applyBorder="1"/>
    <x:xf numFmtId="203" fontId="1" fillId="4" borderId="0" xfId="0" applyNumberFormat="1" applyFont="1" applyFill="1" applyBorder="1"/>
    <x:xf numFmtId="203" fontId="0" fillId="4" borderId="0" xfId="0" applyNumberFormat="1" applyFont="1" applyFill="1" applyBorder="1"/>
    <x:xf numFmtId="204" fontId="1" fillId="4" borderId="0" xfId="0" applyNumberFormat="1" applyFont="1" applyFill="1" applyBorder="1"/>
    <x:xf numFmtId="204" fontId="1" fillId="5" borderId="0" xfId="0" applyNumberFormat="1" applyFont="1" applyFill="1" applyBorder="1"/>
    <x:xf numFmtId="204" fontId="0" fillId="4" borderId="0" xfId="0" applyNumberFormat="1" applyFont="1" applyFill="1" applyBorder="1"/>
    <x:xf numFmtId="204" fontId="0" fillId="5" borderId="0" xfId="0" applyNumberFormat="1" applyFont="1" applyFill="1" applyBorder="1"/>
    <x:xf numFmtId="203" fontId="1" fillId="5" borderId="0" xfId="0" applyNumberFormat="1" applyFont="1" applyFill="1" applyBorder="1"/>
    <x:xf numFmtId="203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484c279544363" /><Relationship Type="http://schemas.openxmlformats.org/officeDocument/2006/relationships/theme" Target="/xl/theme/theme1.xml" Id="R65b8cc392935498d" /><Relationship Type="http://schemas.openxmlformats.org/officeDocument/2006/relationships/sharedStrings" Target="/xl/sharedStrings.xml" Id="Rb97a0b1179154982" /><Relationship Type="http://schemas.openxmlformats.org/officeDocument/2006/relationships/worksheet" Target="/xl/worksheets/sheet1.xml" Id="R6034b0795f6142a3" /><Relationship Type="http://schemas.openxmlformats.org/officeDocument/2006/relationships/worksheet" Target="/xl/worksheets/sheet2.xml" Id="R6e17b3268c7b4228" /><Relationship Type="http://schemas.openxmlformats.org/officeDocument/2006/relationships/worksheet" Target="/xl/worksheets/sheet3.xml" Id="R497f2966545a4985" /><Relationship Type="http://schemas.openxmlformats.org/officeDocument/2006/relationships/worksheet" Target="/xl/worksheets/sheet4.xml" Id="Rc570079382564d1a" /><Relationship Type="http://schemas.openxmlformats.org/officeDocument/2006/relationships/worksheet" Target="/xl/worksheets/sheet5.xml" Id="R5c4729a51ae74202" /></Relationships>
</file>

<file path=xl/tables/table1.xml><?xml version="1.0" encoding="utf-8"?>
<x:table xmlns:x="http://schemas.openxmlformats.org/spreadsheetml/2006/main" id="1" name="PayloadLog" displayName="PayloadLog" ref="A4:Y5" headerRowCount="1" totalsRowCount="0" totalsRowShown="0">
  <x:tableColumns count="25">
    <x:tableColumn id="1" name="Run ID"/>
    <x:tableColumn id="2" name="Skenario"/>
    <x:tableColumn id="3" name="Replikasi"/>
    <x:tableColumn id="4" name="Waktu"/>
    <x:tableColumn id="5" name="Level"/>
    <x:tableColumn id="6" name="Tipe SQLi"/>
    <x:tableColumn id="7" name="Endpoint"/>
    <x:tableColumn id="8" name="Metode HTTP"/>
    <x:tableColumn id="9" name="Parameter"/>
    <x:tableColumn id="10" name="Sumber Payload"/>
    <x:tableColumn id="11" name="RAG"/>
    <x:tableColumn id="12" name="Payload ID"/>
    <x:tableColumn id="13" name="Payload String"/>
    <x:tableColumn id="14" name="HTTP Status"/>
    <x:tableColumn id="15" name="Indikator Respons"/>
    <x:tableColumn id="16" name="Waktu Respons (ms)"/>
    <x:tableColumn id="17" name="Baseline (ms)"/>
    <x:tableColumn id="18" name="Delta (ms)"/>
    <x:tableColumn id="19" name="Analisis LLM"/>
    <x:tableColumn id="20" name="Bukti LLM (sanitasi)"/>
    <x:tableColumn id="21" name="Reproduksi"/>
    <x:tableColumn id="22" name="Respons Sesuai"/>
    <x:tableColumn id="23" name="Relevansi Payload"/>
    <x:tableColumn id="24" name="Validasi Human"/>
    <x:tableColumn id="25" name="P_succ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ectionLog" displayName="DetectionLog" ref="AA4:AG5" headerRowCount="1" totalsRowCount="0" totalsRowShown="0">
  <x:tableColumns count="7">
    <x:tableColumn id="1" name="Run ID"/>
    <x:tableColumn id="2" name="Skenario"/>
    <x:tableColumn id="3" name="Replikasi"/>
    <x:tableColumn id="4" name="Konfigurasi RAG"/>
    <x:tableColumn id="5" name="Ground Truth"/>
    <x:tableColumn id="6" name="Keputusan Sistem"/>
    <x:tableColumn id="7" name="Kelas Otomat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1c6759168cca4e46" /><Relationship Type="http://schemas.openxmlformats.org/officeDocument/2006/relationships/table" Target="/xl/tables/table2.xml" Id="Re7cbe95586f14e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34" customHeight="1">
      <x:c r="A1" s="5" t="str">
        <x:v>Template Evaluasi SQLi — Tugas Akhir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</x:row>
    <x:row r="3">
      <x:c r="A3" s="9" t="str">
        <x:v>Urutan</x:v>
      </x:c>
      <x:c r="B3" s="9" t="str">
        <x:v>Petunjuk penggunaan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</x:row>
    <x:row r="4" ht="38" customHeight="1">
      <x:c r="A4" s="12" t="str">
        <x:v>1</x:v>
      </x:c>
      <x:c r="B4" s="14" t="str">
        <x:v>Isi Log Rinci Payload setelah setiap percobaan. Satu baris tabel payload = satu payload yang benar-benar dikirim.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</x:row>
    <x:row r="5" ht="38" customHeight="1">
      <x:c r="A5" s="12" t="str">
        <x:v>2</x:v>
      </x:c>
      <x:c r="B5" s="14" t="str">
        <x:v>Isi tabel keputusan deteksi untuk setiap keputusan sistem pada satu skenario/replikasi, termasuk saat tidak ada payload.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</x:row>
    <x:row r="6" ht="38" customHeight="1">
      <x:c r="A6" s="12" t="str">
        <x:v>3</x:v>
      </x:c>
      <x:c r="B6" s="14" t="str">
        <x:v>Gunakan S1–S12 untuk DVWA: S1–S3 Low, S4–S6 Medium, S7–S9 High, S10–S12 Impossible.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</x:row>
    <x:row r="7" ht="38" customHeight="1">
      <x:c r="A7" s="12" t="str">
        <x:v>4</x:v>
      </x:c>
      <x:c r="B7" s="14" t="str">
        <x:v>Ground truth S1–S12 sudah tervalidasi, tetapi eksperimen sistem belum dijalankan. Isi hasil hanya setelah validation loop eksperimen dijalankan dan dicatat.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</x:row>
    <x:row r="8" ht="38" customHeight="1">
      <x:c r="A8" s="12" t="str">
        <x:v>5</x:v>
      </x:c>
      <x:c r="B8" s="14" t="str">
        <x:v>P_success hanya dihitung jika Human Validator memilih Confirmed setelah memeriksa reproduktibilitas, kesesuaian respons, dan relevansi payload.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</x:row>
    <x:row r="9" ht="38" customHeight="1">
      <x:c r="A9" s="12" t="str">
        <x:v>6</x:v>
      </x:c>
      <x:c r="B9" s="14" t="str">
        <x:v>P_total menghitung baris payload yang benar-benar dieksekusi (Payload ID terisi). Payload yang hanya dihasilkan namun tidak dikirim tidak masuk penyebut.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</x:row>
    <x:row r="10" ht="38" customHeight="1">
      <x:c r="A10" s="12" t="str">
        <x:v>7</x:v>
      </x:c>
      <x:c r="B10" s="14" t="str">
        <x:v>FPR dihitung dari keputusan sistem terhadap ground truth: FP/(FP+TN). Catat keputusan negatif juga; tanpa TN, FPR belum dapat dihitung.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</x:row>
    <x:row r="11" ht="38" customHeight="1">
      <x:c r="A11" s="12" t="str">
        <x:v>8</x:v>
      </x:c>
      <x:c r="B11" s="14" t="str">
        <x:v>Jangan simpan kredensial, token, cookie mentah, atau output yang mengandung rahasia. Gunakan bukti respons yang sudah disanitasi.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</x:row>
    <x:row r="13">
      <x:c r="A13" s="9" t="str">
        <x:v>Warna</x:v>
      </x:c>
      <x:c r="B13" s="9" t="str">
        <x:v>Makna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</x:row>
    <x:row r="14">
      <x:c r="A14" s="16" t="str">
        <x:v>Biru muda</x:v>
      </x:c>
      <x:c r="B14" s="13" t="str">
        <x:v>Input manual peneliti atau validator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</x:row>
    <x:row r="15">
      <x:c r="A15" s="17" t="str">
        <x:v>Hijau muda</x:v>
      </x:c>
      <x:c r="B15" s="13" t="str">
        <x:v>Formula / kalkulasi otomatis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</x:row>
    <x:row r="16">
      <x:c r="A16" s="18" t="str">
        <x:v>Kuning muda</x:v>
      </x:c>
      <x:c r="B16" s="13" t="str">
        <x:v>Placeholder contoh — template ini tidak berisi data eksperimen contoh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</x:row>
    <x:row r="17">
      <x:c r="A17" s="19" t="str">
        <x:v>Abu-abu muda</x:v>
      </x:c>
      <x:c r="B17" s="13" t="str">
        <x:v>Subtotal, agregat, atau informasi skenario tetap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26" hidden="0" customWidth="1"/>
    <x:col min="5" max="5" width="15" hidden="0" customWidth="1"/>
    <x:col min="6" max="6" width="52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5" t="str">
        <x:v>Rekap Skenario DVWA — S1 sampai S12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</x:row>
    <x:row r="3">
      <x:c r="A3" s="9" t="str">
        <x:v>Skenario</x:v>
      </x:c>
      <x:c r="B3" s="9" t="str">
        <x:v>Target</x:v>
      </x:c>
      <x:c r="C3" s="9" t="str">
        <x:v>Level</x:v>
      </x:c>
      <x:c r="D3" s="9" t="str">
        <x:v>Tipe SQLi</x:v>
      </x:c>
      <x:c r="E3" s="9" t="str">
        <x:v>Ground Truth</x:v>
      </x:c>
      <x:c r="F3" s="9" t="str">
        <x:v>Injection Point</x:v>
      </x:c>
      <x:c r="G3" s="9" t="str">
        <x:v>Status Pengujian</x:v>
      </x:c>
      <x:c r="H3" s="9" t="str">
        <x:v>P_total</x:v>
      </x:c>
      <x:c r="I3" s="9" t="str">
        <x:v>P_success</x:v>
      </x:c>
      <x:c r="J3" s="9" t="str">
        <x:v>PSR (%)</x:v>
      </x:c>
      <x:c r="K3" s="9" t="str">
        <x:v>TP</x:v>
      </x:c>
      <x:c r="L3" s="9" t="str">
        <x:v>FP</x:v>
      </x:c>
      <x:c r="M3" s="9" t="str">
        <x:v>TN</x:v>
      </x:c>
      <x:c r="N3" s="9" t="str">
        <x:v>FN</x:v>
      </x:c>
      <x:c r="O3" s="9" t="str">
        <x:v>FPR (%)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</x:row>
    <x:row r="4" ht="34" customHeight="1">
      <x:c r="A4" s="21" t="str">
        <x:v>S1</x:v>
      </x:c>
      <x:c r="B4" s="21" t="str">
        <x:v>DVWA</x:v>
      </x:c>
      <x:c r="C4" s="21" t="str">
        <x:v>Low</x:v>
      </x:c>
      <x:c r="D4" s="21" t="str">
        <x:v>Error-based</x:v>
      </x:c>
      <x:c r="E4" s="21" t="str">
        <x:v>Positif</x:v>
      </x:c>
      <x:c r="F4" s="21" t="str">
        <x:v>GET /vulnerabilities/sqli/ — id</x:v>
      </x:c>
      <x:c r="G4" s="21" t="str">
        <x:v>GT tervalidasi; uji sistem belum mulai</x:v>
      </x:c>
      <x:c r="H4" s="22" t="str">
        <x:f>IF(COUNTIFS('Log Rinci Payload'!$B$5:$B$1004,$A4,'Log Rinci Payload'!$L$5:$L$1004,"&lt;&gt;")=0,"",COUNTIFS('Log Rinci Payload'!$B$5:$B$1004,$A4,'Log Rinci Payload'!$L$5:$L$1004,"&lt;&gt;"))</x:f>
      </x:c>
      <x:c r="I4" s="22" t="str">
        <x:f>IF(H4="","",SUMIFS('Log Rinci Payload'!$Y$5:$Y$1004,'Log Rinci Payload'!$B$5:$B$1004,$A4))</x:f>
      </x:c>
      <x:c r="J4" s="23" t="str">
        <x:f>IF(H4=0,"",I4/H4)</x:f>
      </x:c>
      <x:c r="K4" s="22" t="str">
        <x:f>IF(COUNTIFS('Log Rinci Payload'!$AB$5:$AB$1004,$A4,'Log Rinci Payload'!$AG$5:$AG$1004,"&lt;&gt;")=0,"",COUNTIFS('Log Rinci Payload'!$AB$5:$AB$1004,$A4,'Log Rinci Payload'!$AG$5:$AG$1004,"TP"))</x:f>
      </x:c>
      <x:c r="L4" s="22" t="str">
        <x:f>IF(COUNTIFS('Log Rinci Payload'!$AB$5:$AB$1004,$A4,'Log Rinci Payload'!$AG$5:$AG$1004,"&lt;&gt;")=0,"",COUNTIFS('Log Rinci Payload'!$AB$5:$AB$1004,$A4,'Log Rinci Payload'!$AG$5:$AG$1004,"FP"))</x:f>
      </x:c>
      <x:c r="M4" s="22" t="str">
        <x:f>IF(COUNTIFS('Log Rinci Payload'!$AB$5:$AB$1004,$A4,'Log Rinci Payload'!$AG$5:$AG$1004,"&lt;&gt;")=0,"",COUNTIFS('Log Rinci Payload'!$AB$5:$AB$1004,$A4,'Log Rinci Payload'!$AG$5:$AG$1004,"TN"))</x:f>
      </x:c>
      <x:c r="N4" s="22" t="str">
        <x:f>IF(COUNTIFS('Log Rinci Payload'!$AB$5:$AB$1004,$A4,'Log Rinci Payload'!$AG$5:$AG$1004,"&lt;&gt;")=0,"",COUNTIFS('Log Rinci Payload'!$AB$5:$AB$1004,$A4,'Log Rinci Payload'!$AG$5:$AG$1004,"FN"))</x:f>
      </x:c>
      <x:c r="O4" s="23" t="str">
        <x:f>IF(L4+M4=0,"",L4/(L4+M4))</x:f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</x:row>
    <x:row r="5" ht="34" customHeight="1">
      <x:c r="A5" s="21" t="str">
        <x:v>S2</x:v>
      </x:c>
      <x:c r="B5" s="21" t="str">
        <x:v>DVWA</x:v>
      </x:c>
      <x:c r="C5" s="21" t="str">
        <x:v>Low</x:v>
      </x:c>
      <x:c r="D5" s="21" t="str">
        <x:v>Boolean-based blind</x:v>
      </x:c>
      <x:c r="E5" s="21" t="str">
        <x:v>Positif</x:v>
      </x:c>
      <x:c r="F5" s="21" t="str">
        <x:v>GET /vulnerabilities/sqli_blind/ — id</x:v>
      </x:c>
      <x:c r="G5" s="21" t="str">
        <x:v>GT tervalidasi; uji sistem belum mulai</x:v>
      </x:c>
      <x:c r="H5" s="22" t="str">
        <x:f>IF(COUNTIFS('Log Rinci Payload'!$B$5:$B$1004,$A5,'Log Rinci Payload'!$L$5:$L$1004,"&lt;&gt;")=0,"",COUNTIFS('Log Rinci Payload'!$B$5:$B$1004,$A5,'Log Rinci Payload'!$L$5:$L$1004,"&lt;&gt;"))</x:f>
      </x:c>
      <x:c r="I5" s="22" t="str">
        <x:f>IF(H5="","",SUMIFS('Log Rinci Payload'!$Y$5:$Y$1004,'Log Rinci Payload'!$B$5:$B$1004,$A5))</x:f>
      </x:c>
      <x:c r="J5" s="23" t="str">
        <x:f>IF(H5=0,"",I5/H5)</x:f>
      </x:c>
      <x:c r="K5" s="22" t="str">
        <x:f>IF(COUNTIFS('Log Rinci Payload'!$AB$5:$AB$1004,$A5,'Log Rinci Payload'!$AG$5:$AG$1004,"&lt;&gt;")=0,"",COUNTIFS('Log Rinci Payload'!$AB$5:$AB$1004,$A5,'Log Rinci Payload'!$AG$5:$AG$1004,"TP"))</x:f>
      </x:c>
      <x:c r="L5" s="22" t="str">
        <x:f>IF(COUNTIFS('Log Rinci Payload'!$AB$5:$AB$1004,$A5,'Log Rinci Payload'!$AG$5:$AG$1004,"&lt;&gt;")=0,"",COUNTIFS('Log Rinci Payload'!$AB$5:$AB$1004,$A5,'Log Rinci Payload'!$AG$5:$AG$1004,"FP"))</x:f>
      </x:c>
      <x:c r="M5" s="22" t="str">
        <x:f>IF(COUNTIFS('Log Rinci Payload'!$AB$5:$AB$1004,$A5,'Log Rinci Payload'!$AG$5:$AG$1004,"&lt;&gt;")=0,"",COUNTIFS('Log Rinci Payload'!$AB$5:$AB$1004,$A5,'Log Rinci Payload'!$AG$5:$AG$1004,"TN"))</x:f>
      </x:c>
      <x:c r="N5" s="22" t="str">
        <x:f>IF(COUNTIFS('Log Rinci Payload'!$AB$5:$AB$1004,$A5,'Log Rinci Payload'!$AG$5:$AG$1004,"&lt;&gt;")=0,"",COUNTIFS('Log Rinci Payload'!$AB$5:$AB$1004,$A5,'Log Rinci Payload'!$AG$5:$AG$1004,"FN"))</x:f>
      </x:c>
      <x:c r="O5" s="23" t="str">
        <x:f>IF(L5+M5=0,"",L5/(L5+M5))</x:f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</x:row>
    <x:row r="6" ht="34" customHeight="1">
      <x:c r="A6" s="21" t="str">
        <x:v>S3</x:v>
      </x:c>
      <x:c r="B6" s="21" t="str">
        <x:v>DVWA</x:v>
      </x:c>
      <x:c r="C6" s="21" t="str">
        <x:v>Low</x:v>
      </x:c>
      <x:c r="D6" s="21" t="str">
        <x:v>Time-based blind</x:v>
      </x:c>
      <x:c r="E6" s="21" t="str">
        <x:v>Positif</x:v>
      </x:c>
      <x:c r="F6" s="21" t="str">
        <x:v>GET /vulnerabilities/sqli_blind/ — id</x:v>
      </x:c>
      <x:c r="G6" s="21" t="str">
        <x:v>GT tervalidasi; uji sistem belum mulai</x:v>
      </x:c>
      <x:c r="H6" s="22" t="str">
        <x:f>IF(COUNTIFS('Log Rinci Payload'!$B$5:$B$1004,$A6,'Log Rinci Payload'!$L$5:$L$1004,"&lt;&gt;")=0,"",COUNTIFS('Log Rinci Payload'!$B$5:$B$1004,$A6,'Log Rinci Payload'!$L$5:$L$1004,"&lt;&gt;"))</x:f>
      </x:c>
      <x:c r="I6" s="22" t="str">
        <x:f>IF(H6="","",SUMIFS('Log Rinci Payload'!$Y$5:$Y$1004,'Log Rinci Payload'!$B$5:$B$1004,$A6))</x:f>
      </x:c>
      <x:c r="J6" s="23" t="str">
        <x:f>IF(H6=0,"",I6/H6)</x:f>
      </x:c>
      <x:c r="K6" s="22" t="str">
        <x:f>IF(COUNTIFS('Log Rinci Payload'!$AB$5:$AB$1004,$A6,'Log Rinci Payload'!$AG$5:$AG$1004,"&lt;&gt;")=0,"",COUNTIFS('Log Rinci Payload'!$AB$5:$AB$1004,$A6,'Log Rinci Payload'!$AG$5:$AG$1004,"TP"))</x:f>
      </x:c>
      <x:c r="L6" s="22" t="str">
        <x:f>IF(COUNTIFS('Log Rinci Payload'!$AB$5:$AB$1004,$A6,'Log Rinci Payload'!$AG$5:$AG$1004,"&lt;&gt;")=0,"",COUNTIFS('Log Rinci Payload'!$AB$5:$AB$1004,$A6,'Log Rinci Payload'!$AG$5:$AG$1004,"FP"))</x:f>
      </x:c>
      <x:c r="M6" s="22" t="str">
        <x:f>IF(COUNTIFS('Log Rinci Payload'!$AB$5:$AB$1004,$A6,'Log Rinci Payload'!$AG$5:$AG$1004,"&lt;&gt;")=0,"",COUNTIFS('Log Rinci Payload'!$AB$5:$AB$1004,$A6,'Log Rinci Payload'!$AG$5:$AG$1004,"TN"))</x:f>
      </x:c>
      <x:c r="N6" s="22" t="str">
        <x:f>IF(COUNTIFS('Log Rinci Payload'!$AB$5:$AB$1004,$A6,'Log Rinci Payload'!$AG$5:$AG$1004,"&lt;&gt;")=0,"",COUNTIFS('Log Rinci Payload'!$AB$5:$AB$1004,$A6,'Log Rinci Payload'!$AG$5:$AG$1004,"FN"))</x:f>
      </x:c>
      <x:c r="O6" s="23" t="str">
        <x:f>IF(L6+M6=0,"",L6/(L6+M6))</x:f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</x:row>
    <x:row r="7" ht="34" customHeight="1">
      <x:c r="A7" s="21" t="str">
        <x:v>S4</x:v>
      </x:c>
      <x:c r="B7" s="21" t="str">
        <x:v>DVWA</x:v>
      </x:c>
      <x:c r="C7" s="21" t="str">
        <x:v>Medium</x:v>
      </x:c>
      <x:c r="D7" s="21" t="str">
        <x:v>Error-based</x:v>
      </x:c>
      <x:c r="E7" s="21" t="str">
        <x:v>Positif</x:v>
      </x:c>
      <x:c r="F7" s="21" t="str">
        <x:v>POST /vulnerabilities/sqli/ — id</x:v>
      </x:c>
      <x:c r="G7" s="21" t="str">
        <x:v>GT tervalidasi; uji sistem belum mulai</x:v>
      </x:c>
      <x:c r="H7" s="22" t="str">
        <x:f>IF(COUNTIFS('Log Rinci Payload'!$B$5:$B$1004,$A7,'Log Rinci Payload'!$L$5:$L$1004,"&lt;&gt;")=0,"",COUNTIFS('Log Rinci Payload'!$B$5:$B$1004,$A7,'Log Rinci Payload'!$L$5:$L$1004,"&lt;&gt;"))</x:f>
      </x:c>
      <x:c r="I7" s="22" t="str">
        <x:f>IF(H7="","",SUMIFS('Log Rinci Payload'!$Y$5:$Y$1004,'Log Rinci Payload'!$B$5:$B$1004,$A7))</x:f>
      </x:c>
      <x:c r="J7" s="23" t="str">
        <x:f>IF(H7=0,"",I7/H7)</x:f>
      </x:c>
      <x:c r="K7" s="22" t="str">
        <x:f>IF(COUNTIFS('Log Rinci Payload'!$AB$5:$AB$1004,$A7,'Log Rinci Payload'!$AG$5:$AG$1004,"&lt;&gt;")=0,"",COUNTIFS('Log Rinci Payload'!$AB$5:$AB$1004,$A7,'Log Rinci Payload'!$AG$5:$AG$1004,"TP"))</x:f>
      </x:c>
      <x:c r="L7" s="22" t="str">
        <x:f>IF(COUNTIFS('Log Rinci Payload'!$AB$5:$AB$1004,$A7,'Log Rinci Payload'!$AG$5:$AG$1004,"&lt;&gt;")=0,"",COUNTIFS('Log Rinci Payload'!$AB$5:$AB$1004,$A7,'Log Rinci Payload'!$AG$5:$AG$1004,"FP"))</x:f>
      </x:c>
      <x:c r="M7" s="22" t="str">
        <x:f>IF(COUNTIFS('Log Rinci Payload'!$AB$5:$AB$1004,$A7,'Log Rinci Payload'!$AG$5:$AG$1004,"&lt;&gt;")=0,"",COUNTIFS('Log Rinci Payload'!$AB$5:$AB$1004,$A7,'Log Rinci Payload'!$AG$5:$AG$1004,"TN"))</x:f>
      </x:c>
      <x:c r="N7" s="22" t="str">
        <x:f>IF(COUNTIFS('Log Rinci Payload'!$AB$5:$AB$1004,$A7,'Log Rinci Payload'!$AG$5:$AG$1004,"&lt;&gt;")=0,"",COUNTIFS('Log Rinci Payload'!$AB$5:$AB$1004,$A7,'Log Rinci Payload'!$AG$5:$AG$1004,"FN"))</x:f>
      </x:c>
      <x:c r="O7" s="23" t="str">
        <x:f>IF(L7+M7=0,"",L7/(L7+M7))</x:f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</x:row>
    <x:row r="8" ht="34" customHeight="1">
      <x:c r="A8" s="21" t="str">
        <x:v>S5</x:v>
      </x:c>
      <x:c r="B8" s="21" t="str">
        <x:v>DVWA</x:v>
      </x:c>
      <x:c r="C8" s="21" t="str">
        <x:v>Medium</x:v>
      </x:c>
      <x:c r="D8" s="21" t="str">
        <x:v>Boolean-based blind</x:v>
      </x:c>
      <x:c r="E8" s="21" t="str">
        <x:v>Positif</x:v>
      </x:c>
      <x:c r="F8" s="21" t="str">
        <x:v>POST /vulnerabilities/sqli_blind/ — id</x:v>
      </x:c>
      <x:c r="G8" s="21" t="str">
        <x:v>GT tervalidasi; uji sistem belum mulai</x:v>
      </x:c>
      <x:c r="H8" s="22" t="str">
        <x:f>IF(COUNTIFS('Log Rinci Payload'!$B$5:$B$1004,$A8,'Log Rinci Payload'!$L$5:$L$1004,"&lt;&gt;")=0,"",COUNTIFS('Log Rinci Payload'!$B$5:$B$1004,$A8,'Log Rinci Payload'!$L$5:$L$1004,"&lt;&gt;"))</x:f>
      </x:c>
      <x:c r="I8" s="22" t="str">
        <x:f>IF(H8="","",SUMIFS('Log Rinci Payload'!$Y$5:$Y$1004,'Log Rinci Payload'!$B$5:$B$1004,$A8))</x:f>
      </x:c>
      <x:c r="J8" s="23" t="str">
        <x:f>IF(H8=0,"",I8/H8)</x:f>
      </x:c>
      <x:c r="K8" s="22" t="str">
        <x:f>IF(COUNTIFS('Log Rinci Payload'!$AB$5:$AB$1004,$A8,'Log Rinci Payload'!$AG$5:$AG$1004,"&lt;&gt;")=0,"",COUNTIFS('Log Rinci Payload'!$AB$5:$AB$1004,$A8,'Log Rinci Payload'!$AG$5:$AG$1004,"TP"))</x:f>
      </x:c>
      <x:c r="L8" s="22" t="str">
        <x:f>IF(COUNTIFS('Log Rinci Payload'!$AB$5:$AB$1004,$A8,'Log Rinci Payload'!$AG$5:$AG$1004,"&lt;&gt;")=0,"",COUNTIFS('Log Rinci Payload'!$AB$5:$AB$1004,$A8,'Log Rinci Payload'!$AG$5:$AG$1004,"FP"))</x:f>
      </x:c>
      <x:c r="M8" s="22" t="str">
        <x:f>IF(COUNTIFS('Log Rinci Payload'!$AB$5:$AB$1004,$A8,'Log Rinci Payload'!$AG$5:$AG$1004,"&lt;&gt;")=0,"",COUNTIFS('Log Rinci Payload'!$AB$5:$AB$1004,$A8,'Log Rinci Payload'!$AG$5:$AG$1004,"TN"))</x:f>
      </x:c>
      <x:c r="N8" s="22" t="str">
        <x:f>IF(COUNTIFS('Log Rinci Payload'!$AB$5:$AB$1004,$A8,'Log Rinci Payload'!$AG$5:$AG$1004,"&lt;&gt;")=0,"",COUNTIFS('Log Rinci Payload'!$AB$5:$AB$1004,$A8,'Log Rinci Payload'!$AG$5:$AG$1004,"FN"))</x:f>
      </x:c>
      <x:c r="O8" s="23" t="str">
        <x:f>IF(L8+M8=0,"",L8/(L8+M8))</x:f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</x:row>
    <x:row r="9" ht="34" customHeight="1">
      <x:c r="A9" s="21" t="str">
        <x:v>S6</x:v>
      </x:c>
      <x:c r="B9" s="21" t="str">
        <x:v>DVWA</x:v>
      </x:c>
      <x:c r="C9" s="21" t="str">
        <x:v>Medium</x:v>
      </x:c>
      <x:c r="D9" s="21" t="str">
        <x:v>Time-based blind</x:v>
      </x:c>
      <x:c r="E9" s="21" t="str">
        <x:v>Positif</x:v>
      </x:c>
      <x:c r="F9" s="21" t="str">
        <x:v>POST /vulnerabilities/sqli_blind/ — id</x:v>
      </x:c>
      <x:c r="G9" s="21" t="str">
        <x:v>GT tervalidasi; uji sistem belum mulai</x:v>
      </x:c>
      <x:c r="H9" s="22" t="str">
        <x:f>IF(COUNTIFS('Log Rinci Payload'!$B$5:$B$1004,$A9,'Log Rinci Payload'!$L$5:$L$1004,"&lt;&gt;")=0,"",COUNTIFS('Log Rinci Payload'!$B$5:$B$1004,$A9,'Log Rinci Payload'!$L$5:$L$1004,"&lt;&gt;"))</x:f>
      </x:c>
      <x:c r="I9" s="22" t="str">
        <x:f>IF(H9="","",SUMIFS('Log Rinci Payload'!$Y$5:$Y$1004,'Log Rinci Payload'!$B$5:$B$1004,$A9))</x:f>
      </x:c>
      <x:c r="J9" s="23" t="str">
        <x:f>IF(H9=0,"",I9/H9)</x:f>
      </x:c>
      <x:c r="K9" s="22" t="str">
        <x:f>IF(COUNTIFS('Log Rinci Payload'!$AB$5:$AB$1004,$A9,'Log Rinci Payload'!$AG$5:$AG$1004,"&lt;&gt;")=0,"",COUNTIFS('Log Rinci Payload'!$AB$5:$AB$1004,$A9,'Log Rinci Payload'!$AG$5:$AG$1004,"TP"))</x:f>
      </x:c>
      <x:c r="L9" s="22" t="str">
        <x:f>IF(COUNTIFS('Log Rinci Payload'!$AB$5:$AB$1004,$A9,'Log Rinci Payload'!$AG$5:$AG$1004,"&lt;&gt;")=0,"",COUNTIFS('Log Rinci Payload'!$AB$5:$AB$1004,$A9,'Log Rinci Payload'!$AG$5:$AG$1004,"FP"))</x:f>
      </x:c>
      <x:c r="M9" s="22" t="str">
        <x:f>IF(COUNTIFS('Log Rinci Payload'!$AB$5:$AB$1004,$A9,'Log Rinci Payload'!$AG$5:$AG$1004,"&lt;&gt;")=0,"",COUNTIFS('Log Rinci Payload'!$AB$5:$AB$1004,$A9,'Log Rinci Payload'!$AG$5:$AG$1004,"TN"))</x:f>
      </x:c>
      <x:c r="N9" s="22" t="str">
        <x:f>IF(COUNTIFS('Log Rinci Payload'!$AB$5:$AB$1004,$A9,'Log Rinci Payload'!$AG$5:$AG$1004,"&lt;&gt;")=0,"",COUNTIFS('Log Rinci Payload'!$AB$5:$AB$1004,$A9,'Log Rinci Payload'!$AG$5:$AG$1004,"FN"))</x:f>
      </x:c>
      <x:c r="O9" s="23" t="str">
        <x:f>IF(L9+M9=0,"",L9/(L9+M9))</x:f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</x:row>
    <x:row r="10" ht="34" customHeight="1">
      <x:c r="A10" s="21" t="str">
        <x:v>S7</x:v>
      </x:c>
      <x:c r="B10" s="21" t="str">
        <x:v>DVWA</x:v>
      </x:c>
      <x:c r="C10" s="21" t="str">
        <x:v>High</x:v>
      </x:c>
      <x:c r="D10" s="21" t="str">
        <x:v>Error-based</x:v>
      </x:c>
      <x:c r="E10" s="21" t="str">
        <x:v>Positif</x:v>
      </x:c>
      <x:c r="F10" s="21" t="str">
        <x:v>POST /vulnerabilities/sqli/session-input.php — id</x:v>
      </x:c>
      <x:c r="G10" s="21" t="str">
        <x:v>GT tervalidasi; uji sistem belum mulai</x:v>
      </x:c>
      <x:c r="H10" s="22" t="str">
        <x:f>IF(COUNTIFS('Log Rinci Payload'!$B$5:$B$1004,$A10,'Log Rinci Payload'!$L$5:$L$1004,"&lt;&gt;")=0,"",COUNTIFS('Log Rinci Payload'!$B$5:$B$1004,$A10,'Log Rinci Payload'!$L$5:$L$1004,"&lt;&gt;"))</x:f>
      </x:c>
      <x:c r="I10" s="22" t="str">
        <x:f>IF(H10="","",SUMIFS('Log Rinci Payload'!$Y$5:$Y$1004,'Log Rinci Payload'!$B$5:$B$1004,$A10))</x:f>
      </x:c>
      <x:c r="J10" s="23" t="str">
        <x:f>IF(H10=0,"",I10/H10)</x:f>
      </x:c>
      <x:c r="K10" s="22" t="str">
        <x:f>IF(COUNTIFS('Log Rinci Payload'!$AB$5:$AB$1004,$A10,'Log Rinci Payload'!$AG$5:$AG$1004,"&lt;&gt;")=0,"",COUNTIFS('Log Rinci Payload'!$AB$5:$AB$1004,$A10,'Log Rinci Payload'!$AG$5:$AG$1004,"TP"))</x:f>
      </x:c>
      <x:c r="L10" s="22" t="str">
        <x:f>IF(COUNTIFS('Log Rinci Payload'!$AB$5:$AB$1004,$A10,'Log Rinci Payload'!$AG$5:$AG$1004,"&lt;&gt;")=0,"",COUNTIFS('Log Rinci Payload'!$AB$5:$AB$1004,$A10,'Log Rinci Payload'!$AG$5:$AG$1004,"FP"))</x:f>
      </x:c>
      <x:c r="M10" s="22" t="str">
        <x:f>IF(COUNTIFS('Log Rinci Payload'!$AB$5:$AB$1004,$A10,'Log Rinci Payload'!$AG$5:$AG$1004,"&lt;&gt;")=0,"",COUNTIFS('Log Rinci Payload'!$AB$5:$AB$1004,$A10,'Log Rinci Payload'!$AG$5:$AG$1004,"TN"))</x:f>
      </x:c>
      <x:c r="N10" s="22" t="str">
        <x:f>IF(COUNTIFS('Log Rinci Payload'!$AB$5:$AB$1004,$A10,'Log Rinci Payload'!$AG$5:$AG$1004,"&lt;&gt;")=0,"",COUNTIFS('Log Rinci Payload'!$AB$5:$AB$1004,$A10,'Log Rinci Payload'!$AG$5:$AG$1004,"FN"))</x:f>
      </x:c>
      <x:c r="O10" s="23" t="str">
        <x:f>IF(L10+M10=0,"",L10/(L10+M10))</x:f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</x:row>
    <x:row r="11" ht="34" customHeight="1">
      <x:c r="A11" s="21" t="str">
        <x:v>S8</x:v>
      </x:c>
      <x:c r="B11" s="21" t="str">
        <x:v>DVWA</x:v>
      </x:c>
      <x:c r="C11" s="21" t="str">
        <x:v>High</x:v>
      </x:c>
      <x:c r="D11" s="21" t="str">
        <x:v>Boolean-based blind</x:v>
      </x:c>
      <x:c r="E11" s="21" t="str">
        <x:v>Positif</x:v>
      </x:c>
      <x:c r="F11" s="21" t="str">
        <x:v>POST /vulnerabilities/sqli_blind/cookie-input.php — id</x:v>
      </x:c>
      <x:c r="G11" s="21" t="str">
        <x:v>GT tervalidasi; uji sistem belum mulai</x:v>
      </x:c>
      <x:c r="H11" s="22" t="str">
        <x:f>IF(COUNTIFS('Log Rinci Payload'!$B$5:$B$1004,$A11,'Log Rinci Payload'!$L$5:$L$1004,"&lt;&gt;")=0,"",COUNTIFS('Log Rinci Payload'!$B$5:$B$1004,$A11,'Log Rinci Payload'!$L$5:$L$1004,"&lt;&gt;"))</x:f>
      </x:c>
      <x:c r="I11" s="22" t="str">
        <x:f>IF(H11="","",SUMIFS('Log Rinci Payload'!$Y$5:$Y$1004,'Log Rinci Payload'!$B$5:$B$1004,$A11))</x:f>
      </x:c>
      <x:c r="J11" s="23" t="str">
        <x:f>IF(H11=0,"",I11/H11)</x:f>
      </x:c>
      <x:c r="K11" s="22" t="str">
        <x:f>IF(COUNTIFS('Log Rinci Payload'!$AB$5:$AB$1004,$A11,'Log Rinci Payload'!$AG$5:$AG$1004,"&lt;&gt;")=0,"",COUNTIFS('Log Rinci Payload'!$AB$5:$AB$1004,$A11,'Log Rinci Payload'!$AG$5:$AG$1004,"TP"))</x:f>
      </x:c>
      <x:c r="L11" s="22" t="str">
        <x:f>IF(COUNTIFS('Log Rinci Payload'!$AB$5:$AB$1004,$A11,'Log Rinci Payload'!$AG$5:$AG$1004,"&lt;&gt;")=0,"",COUNTIFS('Log Rinci Payload'!$AB$5:$AB$1004,$A11,'Log Rinci Payload'!$AG$5:$AG$1004,"FP"))</x:f>
      </x:c>
      <x:c r="M11" s="22" t="str">
        <x:f>IF(COUNTIFS('Log Rinci Payload'!$AB$5:$AB$1004,$A11,'Log Rinci Payload'!$AG$5:$AG$1004,"&lt;&gt;")=0,"",COUNTIFS('Log Rinci Payload'!$AB$5:$AB$1004,$A11,'Log Rinci Payload'!$AG$5:$AG$1004,"TN"))</x:f>
      </x:c>
      <x:c r="N11" s="22" t="str">
        <x:f>IF(COUNTIFS('Log Rinci Payload'!$AB$5:$AB$1004,$A11,'Log Rinci Payload'!$AG$5:$AG$1004,"&lt;&gt;")=0,"",COUNTIFS('Log Rinci Payload'!$AB$5:$AB$1004,$A11,'Log Rinci Payload'!$AG$5:$AG$1004,"FN"))</x:f>
      </x:c>
      <x:c r="O11" s="23" t="str">
        <x:f>IF(L11+M11=0,"",L11/(L11+M11))</x:f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</x:row>
    <x:row r="12" ht="34" customHeight="1">
      <x:c r="A12" s="21" t="str">
        <x:v>S9</x:v>
      </x:c>
      <x:c r="B12" s="21" t="str">
        <x:v>DVWA</x:v>
      </x:c>
      <x:c r="C12" s="21" t="str">
        <x:v>High</x:v>
      </x:c>
      <x:c r="D12" s="21" t="str">
        <x:v>Time-based blind</x:v>
      </x:c>
      <x:c r="E12" s="21" t="str">
        <x:v>Positif</x:v>
      </x:c>
      <x:c r="F12" s="21" t="str">
        <x:v>POST /vulnerabilities/sqli_blind/cookie-input.php — id</x:v>
      </x:c>
      <x:c r="G12" s="21" t="str">
        <x:v>GT tervalidasi; uji sistem belum mulai</x:v>
      </x:c>
      <x:c r="H12" s="22" t="str">
        <x:f>IF(COUNTIFS('Log Rinci Payload'!$B$5:$B$1004,$A12,'Log Rinci Payload'!$L$5:$L$1004,"&lt;&gt;")=0,"",COUNTIFS('Log Rinci Payload'!$B$5:$B$1004,$A12,'Log Rinci Payload'!$L$5:$L$1004,"&lt;&gt;"))</x:f>
      </x:c>
      <x:c r="I12" s="22" t="str">
        <x:f>IF(H12="","",SUMIFS('Log Rinci Payload'!$Y$5:$Y$1004,'Log Rinci Payload'!$B$5:$B$1004,$A12))</x:f>
      </x:c>
      <x:c r="J12" s="23" t="str">
        <x:f>IF(H12=0,"",I12/H12)</x:f>
      </x:c>
      <x:c r="K12" s="22" t="str">
        <x:f>IF(COUNTIFS('Log Rinci Payload'!$AB$5:$AB$1004,$A12,'Log Rinci Payload'!$AG$5:$AG$1004,"&lt;&gt;")=0,"",COUNTIFS('Log Rinci Payload'!$AB$5:$AB$1004,$A12,'Log Rinci Payload'!$AG$5:$AG$1004,"TP"))</x:f>
      </x:c>
      <x:c r="L12" s="22" t="str">
        <x:f>IF(COUNTIFS('Log Rinci Payload'!$AB$5:$AB$1004,$A12,'Log Rinci Payload'!$AG$5:$AG$1004,"&lt;&gt;")=0,"",COUNTIFS('Log Rinci Payload'!$AB$5:$AB$1004,$A12,'Log Rinci Payload'!$AG$5:$AG$1004,"FP"))</x:f>
      </x:c>
      <x:c r="M12" s="22" t="str">
        <x:f>IF(COUNTIFS('Log Rinci Payload'!$AB$5:$AB$1004,$A12,'Log Rinci Payload'!$AG$5:$AG$1004,"&lt;&gt;")=0,"",COUNTIFS('Log Rinci Payload'!$AB$5:$AB$1004,$A12,'Log Rinci Payload'!$AG$5:$AG$1004,"TN"))</x:f>
      </x:c>
      <x:c r="N12" s="22" t="str">
        <x:f>IF(COUNTIFS('Log Rinci Payload'!$AB$5:$AB$1004,$A12,'Log Rinci Payload'!$AG$5:$AG$1004,"&lt;&gt;")=0,"",COUNTIFS('Log Rinci Payload'!$AB$5:$AB$1004,$A12,'Log Rinci Payload'!$AG$5:$AG$1004,"FN"))</x:f>
      </x:c>
      <x:c r="O12" s="23" t="str">
        <x:f>IF(L12+M12=0,"",L12/(L12+M12))</x:f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</x:row>
    <x:row r="13" ht="34" customHeight="1">
      <x:c r="A13" s="21" t="str">
        <x:v>S10</x:v>
      </x:c>
      <x:c r="B13" s="21" t="str">
        <x:v>DVWA</x:v>
      </x:c>
      <x:c r="C13" s="21" t="str">
        <x:v>Impossible</x:v>
      </x:c>
      <x:c r="D13" s="21" t="str">
        <x:v>Error-based</x:v>
      </x:c>
      <x:c r="E13" s="21" t="str">
        <x:v>Negatif</x:v>
      </x:c>
      <x:c r="F13" s="21" t="str">
        <x:v>GET /vulnerabilities/sqli/ — id</x:v>
      </x:c>
      <x:c r="G13" s="21" t="str">
        <x:v>GT tervalidasi; uji sistem belum mulai</x:v>
      </x:c>
      <x:c r="H13" s="22" t="str">
        <x:f>IF(COUNTIFS('Log Rinci Payload'!$B$5:$B$1004,$A13,'Log Rinci Payload'!$L$5:$L$1004,"&lt;&gt;")=0,"",COUNTIFS('Log Rinci Payload'!$B$5:$B$1004,$A13,'Log Rinci Payload'!$L$5:$L$1004,"&lt;&gt;"))</x:f>
      </x:c>
      <x:c r="I13" s="22" t="str">
        <x:f>IF(H13="","",SUMIFS('Log Rinci Payload'!$Y$5:$Y$1004,'Log Rinci Payload'!$B$5:$B$1004,$A13))</x:f>
      </x:c>
      <x:c r="J13" s="23" t="str">
        <x:f>IF(H13=0,"",I13/H13)</x:f>
      </x:c>
      <x:c r="K13" s="22" t="str">
        <x:f>IF(COUNTIFS('Log Rinci Payload'!$AB$5:$AB$1004,$A13,'Log Rinci Payload'!$AG$5:$AG$1004,"&lt;&gt;")=0,"",COUNTIFS('Log Rinci Payload'!$AB$5:$AB$1004,$A13,'Log Rinci Payload'!$AG$5:$AG$1004,"TP"))</x:f>
      </x:c>
      <x:c r="L13" s="22" t="str">
        <x:f>IF(COUNTIFS('Log Rinci Payload'!$AB$5:$AB$1004,$A13,'Log Rinci Payload'!$AG$5:$AG$1004,"&lt;&gt;")=0,"",COUNTIFS('Log Rinci Payload'!$AB$5:$AB$1004,$A13,'Log Rinci Payload'!$AG$5:$AG$1004,"FP"))</x:f>
      </x:c>
      <x:c r="M13" s="22" t="str">
        <x:f>IF(COUNTIFS('Log Rinci Payload'!$AB$5:$AB$1004,$A13,'Log Rinci Payload'!$AG$5:$AG$1004,"&lt;&gt;")=0,"",COUNTIFS('Log Rinci Payload'!$AB$5:$AB$1004,$A13,'Log Rinci Payload'!$AG$5:$AG$1004,"TN"))</x:f>
      </x:c>
      <x:c r="N13" s="22" t="str">
        <x:f>IF(COUNTIFS('Log Rinci Payload'!$AB$5:$AB$1004,$A13,'Log Rinci Payload'!$AG$5:$AG$1004,"&lt;&gt;")=0,"",COUNTIFS('Log Rinci Payload'!$AB$5:$AB$1004,$A13,'Log Rinci Payload'!$AG$5:$AG$1004,"FN"))</x:f>
      </x:c>
      <x:c r="O13" s="23" t="str">
        <x:f>IF(L13+M13=0,"",L13/(L13+M13))</x:f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</x:row>
    <x:row r="14" ht="34" customHeight="1">
      <x:c r="A14" s="21" t="str">
        <x:v>S11</x:v>
      </x:c>
      <x:c r="B14" s="21" t="str">
        <x:v>DVWA</x:v>
      </x:c>
      <x:c r="C14" s="21" t="str">
        <x:v>Impossible</x:v>
      </x:c>
      <x:c r="D14" s="21" t="str">
        <x:v>Boolean-based blind</x:v>
      </x:c>
      <x:c r="E14" s="21" t="str">
        <x:v>Negatif</x:v>
      </x:c>
      <x:c r="F14" s="21" t="str">
        <x:v>GET /vulnerabilities/sqli_blind/ — id</x:v>
      </x:c>
      <x:c r="G14" s="21" t="str">
        <x:v>GT tervalidasi; uji sistem belum mulai</x:v>
      </x:c>
      <x:c r="H14" s="22" t="str">
        <x:f>IF(COUNTIFS('Log Rinci Payload'!$B$5:$B$1004,$A14,'Log Rinci Payload'!$L$5:$L$1004,"&lt;&gt;")=0,"",COUNTIFS('Log Rinci Payload'!$B$5:$B$1004,$A14,'Log Rinci Payload'!$L$5:$L$1004,"&lt;&gt;"))</x:f>
      </x:c>
      <x:c r="I14" s="22" t="str">
        <x:f>IF(H14="","",SUMIFS('Log Rinci Payload'!$Y$5:$Y$1004,'Log Rinci Payload'!$B$5:$B$1004,$A14))</x:f>
      </x:c>
      <x:c r="J14" s="23" t="str">
        <x:f>IF(H14=0,"",I14/H14)</x:f>
      </x:c>
      <x:c r="K14" s="22" t="str">
        <x:f>IF(COUNTIFS('Log Rinci Payload'!$AB$5:$AB$1004,$A14,'Log Rinci Payload'!$AG$5:$AG$1004,"&lt;&gt;")=0,"",COUNTIFS('Log Rinci Payload'!$AB$5:$AB$1004,$A14,'Log Rinci Payload'!$AG$5:$AG$1004,"TP"))</x:f>
      </x:c>
      <x:c r="L14" s="22" t="str">
        <x:f>IF(COUNTIFS('Log Rinci Payload'!$AB$5:$AB$1004,$A14,'Log Rinci Payload'!$AG$5:$AG$1004,"&lt;&gt;")=0,"",COUNTIFS('Log Rinci Payload'!$AB$5:$AB$1004,$A14,'Log Rinci Payload'!$AG$5:$AG$1004,"FP"))</x:f>
      </x:c>
      <x:c r="M14" s="22" t="str">
        <x:f>IF(COUNTIFS('Log Rinci Payload'!$AB$5:$AB$1004,$A14,'Log Rinci Payload'!$AG$5:$AG$1004,"&lt;&gt;")=0,"",COUNTIFS('Log Rinci Payload'!$AB$5:$AB$1004,$A14,'Log Rinci Payload'!$AG$5:$AG$1004,"TN"))</x:f>
      </x:c>
      <x:c r="N14" s="22" t="str">
        <x:f>IF(COUNTIFS('Log Rinci Payload'!$AB$5:$AB$1004,$A14,'Log Rinci Payload'!$AG$5:$AG$1004,"&lt;&gt;")=0,"",COUNTIFS('Log Rinci Payload'!$AB$5:$AB$1004,$A14,'Log Rinci Payload'!$AG$5:$AG$1004,"FN"))</x:f>
      </x:c>
      <x:c r="O14" s="23" t="str">
        <x:f>IF(L14+M14=0,"",L14/(L14+M14))</x:f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</x:row>
    <x:row r="15" ht="34" customHeight="1">
      <x:c r="A15" s="21" t="str">
        <x:v>S12</x:v>
      </x:c>
      <x:c r="B15" s="21" t="str">
        <x:v>DVWA</x:v>
      </x:c>
      <x:c r="C15" s="21" t="str">
        <x:v>Impossible</x:v>
      </x:c>
      <x:c r="D15" s="21" t="str">
        <x:v>Time-based blind</x:v>
      </x:c>
      <x:c r="E15" s="21" t="str">
        <x:v>Negatif</x:v>
      </x:c>
      <x:c r="F15" s="21" t="str">
        <x:v>GET /vulnerabilities/sqli_blind/ — id</x:v>
      </x:c>
      <x:c r="G15" s="21" t="str">
        <x:v>GT tervalidasi; uji sistem belum mulai</x:v>
      </x:c>
      <x:c r="H15" s="22" t="str">
        <x:f>IF(COUNTIFS('Log Rinci Payload'!$B$5:$B$1004,$A15,'Log Rinci Payload'!$L$5:$L$1004,"&lt;&gt;")=0,"",COUNTIFS('Log Rinci Payload'!$B$5:$B$1004,$A15,'Log Rinci Payload'!$L$5:$L$1004,"&lt;&gt;"))</x:f>
      </x:c>
      <x:c r="I15" s="22" t="str">
        <x:f>IF(H15="","",SUMIFS('Log Rinci Payload'!$Y$5:$Y$1004,'Log Rinci Payload'!$B$5:$B$1004,$A15))</x:f>
      </x:c>
      <x:c r="J15" s="23" t="str">
        <x:f>IF(H15=0,"",I15/H15)</x:f>
      </x:c>
      <x:c r="K15" s="22" t="str">
        <x:f>IF(COUNTIFS('Log Rinci Payload'!$AB$5:$AB$1004,$A15,'Log Rinci Payload'!$AG$5:$AG$1004,"&lt;&gt;")=0,"",COUNTIFS('Log Rinci Payload'!$AB$5:$AB$1004,$A15,'Log Rinci Payload'!$AG$5:$AG$1004,"TP"))</x:f>
      </x:c>
      <x:c r="L15" s="22" t="str">
        <x:f>IF(COUNTIFS('Log Rinci Payload'!$AB$5:$AB$1004,$A15,'Log Rinci Payload'!$AG$5:$AG$1004,"&lt;&gt;")=0,"",COUNTIFS('Log Rinci Payload'!$AB$5:$AB$1004,$A15,'Log Rinci Payload'!$AG$5:$AG$1004,"FP"))</x:f>
      </x:c>
      <x:c r="M15" s="22" t="str">
        <x:f>IF(COUNTIFS('Log Rinci Payload'!$AB$5:$AB$1004,$A15,'Log Rinci Payload'!$AG$5:$AG$1004,"&lt;&gt;")=0,"",COUNTIFS('Log Rinci Payload'!$AB$5:$AB$1004,$A15,'Log Rinci Payload'!$AG$5:$AG$1004,"TN"))</x:f>
      </x:c>
      <x:c r="N15" s="22" t="str">
        <x:f>IF(COUNTIFS('Log Rinci Payload'!$AB$5:$AB$1004,$A15,'Log Rinci Payload'!$AG$5:$AG$1004,"&lt;&gt;")=0,"",COUNTIFS('Log Rinci Payload'!$AB$5:$AB$1004,$A15,'Log Rinci Payload'!$AG$5:$AG$1004,"FN"))</x:f>
      </x:c>
      <x:c r="O15" s="23" t="str">
        <x:f>IF(L15+M15=0,"",L15/(L15+M15))</x:f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5" hidden="0" customWidth="1"/>
    <x:col min="14" max="14" width="27" hidden="0" customWidth="1"/>
    <x:col min="15" max="15" width="36" hidden="0" customWidth="1"/>
  </x:cols>
  <x:sheetData>
    <x:row r="1" ht="34" customHeight="1">
      <x:c r="A1" s="5" t="str">
        <x:v>Perbandingan Payload Success Rate — LLM vs SecLists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</x:row>
    <x:row r="3">
      <x:c r="A3" s="9" t="str">
        <x:v>Skenario</x:v>
      </x:c>
      <x:c r="B3" s="9" t="str">
        <x:v>Level</x:v>
      </x:c>
      <x:c r="C3" s="9" t="str">
        <x:v>Tipe SQLi</x:v>
      </x:c>
      <x:c r="D3" s="9" t="str">
        <x:v>LLM RAG On P_total</x:v>
      </x:c>
      <x:c r="E3" s="9" t="str">
        <x:v>LLM RAG On P_success</x:v>
      </x:c>
      <x:c r="F3" s="9" t="str">
        <x:v>PSR LLM RAG On</x:v>
      </x:c>
      <x:c r="G3" s="9" t="str">
        <x:v>LLM RAG Off P_total</x:v>
      </x:c>
      <x:c r="H3" s="9" t="str">
        <x:v>LLM RAG Off P_success</x:v>
      </x:c>
      <x:c r="I3" s="9" t="str">
        <x:v>PSR LLM RAG Off</x:v>
      </x:c>
      <x:c r="J3" s="9" t="str">
        <x:v>SecLists P_total</x:v>
      </x:c>
      <x:c r="K3" s="9" t="str">
        <x:v>SecLists P_success</x:v>
      </x:c>
      <x:c r="L3" s="9" t="str">
        <x:v>PSR SecLists</x:v>
      </x:c>
      <x:c r="M3" s="9" t="str">
        <x:v>Delta On vs SecLists (pp)</x:v>
      </x:c>
      <x:c r="N3" s="9" t="str">
        <x:v>Status Pengujian</x:v>
      </x:c>
      <x:c r="O3" s="9" t="str">
        <x:v>Catatan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</x:row>
    <x:row r="4" ht="34" customHeight="1">
      <x:c r="A4" s="20" t="str">
        <x:f>'Rekap Skenario S1-S12'!A4</x:f>
        <x:v>S1</x:v>
      </x:c>
      <x:c r="B4" s="20" t="str">
        <x:f>'Rekap Skenario S1-S12'!C4</x:f>
        <x:v>Low</x:v>
      </x:c>
      <x:c r="C4" s="20" t="str">
        <x:f>'Rekap Skenario S1-S12'!D4</x:f>
        <x:v>Error-based</x:v>
      </x:c>
      <x:c r="D4" s="15" t="str">
        <x:f>IF(COUNTIFS('Log Rinci Payload'!$B$5:$B$1004,$A4,'Log Rinci Payload'!$J$5:$J$1004,"LLM",'Log Rinci Payload'!$K$5:$K$1004,"On",'Log Rinci Payload'!$L$5:$L$1004,"&lt;&gt;")=0,"",COUNTIFS('Log Rinci Payload'!$B$5:$B$1004,$A4,'Log Rinci Payload'!$J$5:$J$1004,"LLM",'Log Rinci Payload'!$K$5:$K$1004,"On",'Log Rinci Payload'!$L$5:$L$1004,"&lt;&gt;"))</x:f>
      </x:c>
      <x:c r="E4" s="15" t="str">
        <x:f>IF(D4="","",SUMIFS('Log Rinci Payload'!$Y$5:$Y$1004,'Log Rinci Payload'!$B$5:$B$1004,$A4,'Log Rinci Payload'!$J$5:$J$1004,"LLM",'Log Rinci Payload'!$K$5:$K$1004,"On"))</x:f>
      </x:c>
      <x:c r="F4" s="23" t="str">
        <x:f>IF(D4=0,"",E4/D4)</x:f>
      </x:c>
      <x:c r="G4" s="15" t="str">
        <x:f>IF(COUNTIFS('Log Rinci Payload'!$B$5:$B$1004,$A4,'Log Rinci Payload'!$J$5:$J$1004,"LLM",'Log Rinci Payload'!$K$5:$K$1004,"Off",'Log Rinci Payload'!$L$5:$L$1004,"&lt;&gt;")=0,"",COUNTIFS('Log Rinci Payload'!$B$5:$B$1004,$A4,'Log Rinci Payload'!$J$5:$J$1004,"LLM",'Log Rinci Payload'!$K$5:$K$1004,"Off",'Log Rinci Payload'!$L$5:$L$1004,"&lt;&gt;"))</x:f>
      </x:c>
      <x:c r="H4" s="15" t="str">
        <x:f>IF(G4="","",SUMIFS('Log Rinci Payload'!$Y$5:$Y$1004,'Log Rinci Payload'!$B$5:$B$1004,$A4,'Log Rinci Payload'!$J$5:$J$1004,"LLM",'Log Rinci Payload'!$K$5:$K$1004,"Off"))</x:f>
      </x:c>
      <x:c r="I4" s="23" t="str">
        <x:f>IF(G4=0,"",H4/G4)</x:f>
      </x:c>
      <x:c r="J4" s="15" t="str">
        <x:f>IF(COUNTIFS('Log Rinci Payload'!$B$5:$B$1004,$A4,'Log Rinci Payload'!$J$5:$J$1004,"SecLists",'Log Rinci Payload'!$K$5:$K$1004,"Not applicable",'Log Rinci Payload'!$L$5:$L$1004,"&lt;&gt;")=0,"",COUNTIFS('Log Rinci Payload'!$B$5:$B$1004,$A4,'Log Rinci Payload'!$J$5:$J$1004,"SecLists",'Log Rinci Payload'!$K$5:$K$1004,"Not applicable",'Log Rinci Payload'!$L$5:$L$1004,"&lt;&gt;"))</x:f>
      </x:c>
      <x:c r="K4" s="15" t="str">
        <x:f>IF(J4="","",SUMIFS('Log Rinci Payload'!$Y$5:$Y$1004,'Log Rinci Payload'!$B$5:$B$1004,$A4,'Log Rinci Payload'!$J$5:$J$1004,"SecLists",'Log Rinci Payload'!$K$5:$K$1004,"Not applicable"))</x:f>
      </x:c>
      <x:c r="L4" s="23" t="str">
        <x:f>IF(J4=0,"",K4/J4)</x:f>
      </x:c>
      <x:c r="M4" s="24" t="str">
        <x:f>IF(OR(F4="",L4=""),"",(F4-L4)*100)</x:f>
      </x:c>
      <x:c r="N4" s="15" t="str">
        <x:f>'Rekap Skenario S1-S12'!G4</x:f>
        <x:v>GT tervalidasi; uji sistem belum mulai</x:v>
      </x:c>
      <x:c r="O4" s="15" t="str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</x:row>
    <x:row r="5" ht="34" customHeight="1">
      <x:c r="A5" s="20" t="str">
        <x:f>'Rekap Skenario S1-S12'!A5</x:f>
        <x:v>S2</x:v>
      </x:c>
      <x:c r="B5" s="20" t="str">
        <x:f>'Rekap Skenario S1-S12'!C5</x:f>
        <x:v>Low</x:v>
      </x:c>
      <x:c r="C5" s="20" t="str">
        <x:f>'Rekap Skenario S1-S12'!D5</x:f>
        <x:v>Boolean-based blind</x:v>
      </x:c>
      <x:c r="D5" s="15" t="str">
        <x:f>IF(COUNTIFS('Log Rinci Payload'!$B$5:$B$1004,$A5,'Log Rinci Payload'!$J$5:$J$1004,"LLM",'Log Rinci Payload'!$K$5:$K$1004,"On",'Log Rinci Payload'!$L$5:$L$1004,"&lt;&gt;")=0,"",COUNTIFS('Log Rinci Payload'!$B$5:$B$1004,$A5,'Log Rinci Payload'!$J$5:$J$1004,"LLM",'Log Rinci Payload'!$K$5:$K$1004,"On",'Log Rinci Payload'!$L$5:$L$1004,"&lt;&gt;"))</x:f>
      </x:c>
      <x:c r="E5" s="15" t="str">
        <x:f>IF(D5="","",SUMIFS('Log Rinci Payload'!$Y$5:$Y$1004,'Log Rinci Payload'!$B$5:$B$1004,$A5,'Log Rinci Payload'!$J$5:$J$1004,"LLM",'Log Rinci Payload'!$K$5:$K$1004,"On"))</x:f>
      </x:c>
      <x:c r="F5" s="23" t="str">
        <x:f>IF(D5=0,"",E5/D5)</x:f>
      </x:c>
      <x:c r="G5" s="15" t="str">
        <x:f>IF(COUNTIFS('Log Rinci Payload'!$B$5:$B$1004,$A5,'Log Rinci Payload'!$J$5:$J$1004,"LLM",'Log Rinci Payload'!$K$5:$K$1004,"Off",'Log Rinci Payload'!$L$5:$L$1004,"&lt;&gt;")=0,"",COUNTIFS('Log Rinci Payload'!$B$5:$B$1004,$A5,'Log Rinci Payload'!$J$5:$J$1004,"LLM",'Log Rinci Payload'!$K$5:$K$1004,"Off",'Log Rinci Payload'!$L$5:$L$1004,"&lt;&gt;"))</x:f>
      </x:c>
      <x:c r="H5" s="15" t="str">
        <x:f>IF(G5="","",SUMIFS('Log Rinci Payload'!$Y$5:$Y$1004,'Log Rinci Payload'!$B$5:$B$1004,$A5,'Log Rinci Payload'!$J$5:$J$1004,"LLM",'Log Rinci Payload'!$K$5:$K$1004,"Off"))</x:f>
      </x:c>
      <x:c r="I5" s="23" t="str">
        <x:f>IF(G5=0,"",H5/G5)</x:f>
      </x:c>
      <x:c r="J5" s="15" t="str">
        <x:f>IF(COUNTIFS('Log Rinci Payload'!$B$5:$B$1004,$A5,'Log Rinci Payload'!$J$5:$J$1004,"SecLists",'Log Rinci Payload'!$K$5:$K$1004,"Not applicable",'Log Rinci Payload'!$L$5:$L$1004,"&lt;&gt;")=0,"",COUNTIFS('Log Rinci Payload'!$B$5:$B$1004,$A5,'Log Rinci Payload'!$J$5:$J$1004,"SecLists",'Log Rinci Payload'!$K$5:$K$1004,"Not applicable",'Log Rinci Payload'!$L$5:$L$1004,"&lt;&gt;"))</x:f>
      </x:c>
      <x:c r="K5" s="15" t="str">
        <x:f>IF(J5="","",SUMIFS('Log Rinci Payload'!$Y$5:$Y$1004,'Log Rinci Payload'!$B$5:$B$1004,$A5,'Log Rinci Payload'!$J$5:$J$1004,"SecLists",'Log Rinci Payload'!$K$5:$K$1004,"Not applicable"))</x:f>
      </x:c>
      <x:c r="L5" s="23" t="str">
        <x:f>IF(J5=0,"",K5/J5)</x:f>
      </x:c>
      <x:c r="M5" s="24" t="str">
        <x:f>IF(OR(F5="",L5=""),"",(F5-L5)*100)</x:f>
      </x:c>
      <x:c r="N5" s="15" t="str">
        <x:f>'Rekap Skenario S1-S12'!G5</x:f>
        <x:v>GT tervalidasi; uji sistem belum mulai</x:v>
      </x:c>
      <x:c r="O5" s="15" t="str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</x:row>
    <x:row r="6" ht="34" customHeight="1">
      <x:c r="A6" s="20" t="str">
        <x:f>'Rekap Skenario S1-S12'!A6</x:f>
        <x:v>S3</x:v>
      </x:c>
      <x:c r="B6" s="20" t="str">
        <x:f>'Rekap Skenario S1-S12'!C6</x:f>
        <x:v>Low</x:v>
      </x:c>
      <x:c r="C6" s="20" t="str">
        <x:f>'Rekap Skenario S1-S12'!D6</x:f>
        <x:v>Time-based blind</x:v>
      </x:c>
      <x:c r="D6" s="15" t="str">
        <x:f>IF(COUNTIFS('Log Rinci Payload'!$B$5:$B$1004,$A6,'Log Rinci Payload'!$J$5:$J$1004,"LLM",'Log Rinci Payload'!$K$5:$K$1004,"On",'Log Rinci Payload'!$L$5:$L$1004,"&lt;&gt;")=0,"",COUNTIFS('Log Rinci Payload'!$B$5:$B$1004,$A6,'Log Rinci Payload'!$J$5:$J$1004,"LLM",'Log Rinci Payload'!$K$5:$K$1004,"On",'Log Rinci Payload'!$L$5:$L$1004,"&lt;&gt;"))</x:f>
      </x:c>
      <x:c r="E6" s="15" t="str">
        <x:f>IF(D6="","",SUMIFS('Log Rinci Payload'!$Y$5:$Y$1004,'Log Rinci Payload'!$B$5:$B$1004,$A6,'Log Rinci Payload'!$J$5:$J$1004,"LLM",'Log Rinci Payload'!$K$5:$K$1004,"On"))</x:f>
      </x:c>
      <x:c r="F6" s="23" t="str">
        <x:f>IF(D6=0,"",E6/D6)</x:f>
      </x:c>
      <x:c r="G6" s="15" t="str">
        <x:f>IF(COUNTIFS('Log Rinci Payload'!$B$5:$B$1004,$A6,'Log Rinci Payload'!$J$5:$J$1004,"LLM",'Log Rinci Payload'!$K$5:$K$1004,"Off",'Log Rinci Payload'!$L$5:$L$1004,"&lt;&gt;")=0,"",COUNTIFS('Log Rinci Payload'!$B$5:$B$1004,$A6,'Log Rinci Payload'!$J$5:$J$1004,"LLM",'Log Rinci Payload'!$K$5:$K$1004,"Off",'Log Rinci Payload'!$L$5:$L$1004,"&lt;&gt;"))</x:f>
      </x:c>
      <x:c r="H6" s="15" t="str">
        <x:f>IF(G6="","",SUMIFS('Log Rinci Payload'!$Y$5:$Y$1004,'Log Rinci Payload'!$B$5:$B$1004,$A6,'Log Rinci Payload'!$J$5:$J$1004,"LLM",'Log Rinci Payload'!$K$5:$K$1004,"Off"))</x:f>
      </x:c>
      <x:c r="I6" s="23" t="str">
        <x:f>IF(G6=0,"",H6/G6)</x:f>
      </x:c>
      <x:c r="J6" s="15" t="str">
        <x:f>IF(COUNTIFS('Log Rinci Payload'!$B$5:$B$1004,$A6,'Log Rinci Payload'!$J$5:$J$1004,"SecLists",'Log Rinci Payload'!$K$5:$K$1004,"Not applicable",'Log Rinci Payload'!$L$5:$L$1004,"&lt;&gt;")=0,"",COUNTIFS('Log Rinci Payload'!$B$5:$B$1004,$A6,'Log Rinci Payload'!$J$5:$J$1004,"SecLists",'Log Rinci Payload'!$K$5:$K$1004,"Not applicable",'Log Rinci Payload'!$L$5:$L$1004,"&lt;&gt;"))</x:f>
      </x:c>
      <x:c r="K6" s="15" t="str">
        <x:f>IF(J6="","",SUMIFS('Log Rinci Payload'!$Y$5:$Y$1004,'Log Rinci Payload'!$B$5:$B$1004,$A6,'Log Rinci Payload'!$J$5:$J$1004,"SecLists",'Log Rinci Payload'!$K$5:$K$1004,"Not applicable"))</x:f>
      </x:c>
      <x:c r="L6" s="23" t="str">
        <x:f>IF(J6=0,"",K6/J6)</x:f>
      </x:c>
      <x:c r="M6" s="24" t="str">
        <x:f>IF(OR(F6="",L6=""),"",(F6-L6)*100)</x:f>
      </x:c>
      <x:c r="N6" s="15" t="str">
        <x:f>'Rekap Skenario S1-S12'!G6</x:f>
        <x:v>GT tervalidasi; uji sistem belum mulai</x:v>
      </x:c>
      <x:c r="O6" s="15" t="str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</x:row>
    <x:row r="7" ht="34" customHeight="1">
      <x:c r="A7" s="20" t="str">
        <x:f>'Rekap Skenario S1-S12'!A7</x:f>
        <x:v>S4</x:v>
      </x:c>
      <x:c r="B7" s="20" t="str">
        <x:f>'Rekap Skenario S1-S12'!C7</x:f>
        <x:v>Medium</x:v>
      </x:c>
      <x:c r="C7" s="20" t="str">
        <x:f>'Rekap Skenario S1-S12'!D7</x:f>
        <x:v>Error-based</x:v>
      </x:c>
      <x:c r="D7" s="15" t="str">
        <x:f>IF(COUNTIFS('Log Rinci Payload'!$B$5:$B$1004,$A7,'Log Rinci Payload'!$J$5:$J$1004,"LLM",'Log Rinci Payload'!$K$5:$K$1004,"On",'Log Rinci Payload'!$L$5:$L$1004,"&lt;&gt;")=0,"",COUNTIFS('Log Rinci Payload'!$B$5:$B$1004,$A7,'Log Rinci Payload'!$J$5:$J$1004,"LLM",'Log Rinci Payload'!$K$5:$K$1004,"On",'Log Rinci Payload'!$L$5:$L$1004,"&lt;&gt;"))</x:f>
      </x:c>
      <x:c r="E7" s="15" t="str">
        <x:f>IF(D7="","",SUMIFS('Log Rinci Payload'!$Y$5:$Y$1004,'Log Rinci Payload'!$B$5:$B$1004,$A7,'Log Rinci Payload'!$J$5:$J$1004,"LLM",'Log Rinci Payload'!$K$5:$K$1004,"On"))</x:f>
      </x:c>
      <x:c r="F7" s="23" t="str">
        <x:f>IF(D7=0,"",E7/D7)</x:f>
      </x:c>
      <x:c r="G7" s="15" t="str">
        <x:f>IF(COUNTIFS('Log Rinci Payload'!$B$5:$B$1004,$A7,'Log Rinci Payload'!$J$5:$J$1004,"LLM",'Log Rinci Payload'!$K$5:$K$1004,"Off",'Log Rinci Payload'!$L$5:$L$1004,"&lt;&gt;")=0,"",COUNTIFS('Log Rinci Payload'!$B$5:$B$1004,$A7,'Log Rinci Payload'!$J$5:$J$1004,"LLM",'Log Rinci Payload'!$K$5:$K$1004,"Off",'Log Rinci Payload'!$L$5:$L$1004,"&lt;&gt;"))</x:f>
      </x:c>
      <x:c r="H7" s="15" t="str">
        <x:f>IF(G7="","",SUMIFS('Log Rinci Payload'!$Y$5:$Y$1004,'Log Rinci Payload'!$B$5:$B$1004,$A7,'Log Rinci Payload'!$J$5:$J$1004,"LLM",'Log Rinci Payload'!$K$5:$K$1004,"Off"))</x:f>
      </x:c>
      <x:c r="I7" s="23" t="str">
        <x:f>IF(G7=0,"",H7/G7)</x:f>
      </x:c>
      <x:c r="J7" s="15" t="str">
        <x:f>IF(COUNTIFS('Log Rinci Payload'!$B$5:$B$1004,$A7,'Log Rinci Payload'!$J$5:$J$1004,"SecLists",'Log Rinci Payload'!$K$5:$K$1004,"Not applicable",'Log Rinci Payload'!$L$5:$L$1004,"&lt;&gt;")=0,"",COUNTIFS('Log Rinci Payload'!$B$5:$B$1004,$A7,'Log Rinci Payload'!$J$5:$J$1004,"SecLists",'Log Rinci Payload'!$K$5:$K$1004,"Not applicable",'Log Rinci Payload'!$L$5:$L$1004,"&lt;&gt;"))</x:f>
      </x:c>
      <x:c r="K7" s="15" t="str">
        <x:f>IF(J7="","",SUMIFS('Log Rinci Payload'!$Y$5:$Y$1004,'Log Rinci Payload'!$B$5:$B$1004,$A7,'Log Rinci Payload'!$J$5:$J$1004,"SecLists",'Log Rinci Payload'!$K$5:$K$1004,"Not applicable"))</x:f>
      </x:c>
      <x:c r="L7" s="23" t="str">
        <x:f>IF(J7=0,"",K7/J7)</x:f>
      </x:c>
      <x:c r="M7" s="24" t="str">
        <x:f>IF(OR(F7="",L7=""),"",(F7-L7)*100)</x:f>
      </x:c>
      <x:c r="N7" s="15" t="str">
        <x:f>'Rekap Skenario S1-S12'!G7</x:f>
        <x:v>GT tervalidasi; uji sistem belum mulai</x:v>
      </x:c>
      <x:c r="O7" s="15" t="str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</x:row>
    <x:row r="8" ht="34" customHeight="1">
      <x:c r="A8" s="20" t="str">
        <x:f>'Rekap Skenario S1-S12'!A8</x:f>
        <x:v>S5</x:v>
      </x:c>
      <x:c r="B8" s="20" t="str">
        <x:f>'Rekap Skenario S1-S12'!C8</x:f>
        <x:v>Medium</x:v>
      </x:c>
      <x:c r="C8" s="20" t="str">
        <x:f>'Rekap Skenario S1-S12'!D8</x:f>
        <x:v>Boolean-based blind</x:v>
      </x:c>
      <x:c r="D8" s="15" t="str">
        <x:f>IF(COUNTIFS('Log Rinci Payload'!$B$5:$B$1004,$A8,'Log Rinci Payload'!$J$5:$J$1004,"LLM",'Log Rinci Payload'!$K$5:$K$1004,"On",'Log Rinci Payload'!$L$5:$L$1004,"&lt;&gt;")=0,"",COUNTIFS('Log Rinci Payload'!$B$5:$B$1004,$A8,'Log Rinci Payload'!$J$5:$J$1004,"LLM",'Log Rinci Payload'!$K$5:$K$1004,"On",'Log Rinci Payload'!$L$5:$L$1004,"&lt;&gt;"))</x:f>
      </x:c>
      <x:c r="E8" s="15" t="str">
        <x:f>IF(D8="","",SUMIFS('Log Rinci Payload'!$Y$5:$Y$1004,'Log Rinci Payload'!$B$5:$B$1004,$A8,'Log Rinci Payload'!$J$5:$J$1004,"LLM",'Log Rinci Payload'!$K$5:$K$1004,"On"))</x:f>
      </x:c>
      <x:c r="F8" s="23" t="str">
        <x:f>IF(D8=0,"",E8/D8)</x:f>
      </x:c>
      <x:c r="G8" s="15" t="str">
        <x:f>IF(COUNTIFS('Log Rinci Payload'!$B$5:$B$1004,$A8,'Log Rinci Payload'!$J$5:$J$1004,"LLM",'Log Rinci Payload'!$K$5:$K$1004,"Off",'Log Rinci Payload'!$L$5:$L$1004,"&lt;&gt;")=0,"",COUNTIFS('Log Rinci Payload'!$B$5:$B$1004,$A8,'Log Rinci Payload'!$J$5:$J$1004,"LLM",'Log Rinci Payload'!$K$5:$K$1004,"Off",'Log Rinci Payload'!$L$5:$L$1004,"&lt;&gt;"))</x:f>
      </x:c>
      <x:c r="H8" s="15" t="str">
        <x:f>IF(G8="","",SUMIFS('Log Rinci Payload'!$Y$5:$Y$1004,'Log Rinci Payload'!$B$5:$B$1004,$A8,'Log Rinci Payload'!$J$5:$J$1004,"LLM",'Log Rinci Payload'!$K$5:$K$1004,"Off"))</x:f>
      </x:c>
      <x:c r="I8" s="23" t="str">
        <x:f>IF(G8=0,"",H8/G8)</x:f>
      </x:c>
      <x:c r="J8" s="15" t="str">
        <x:f>IF(COUNTIFS('Log Rinci Payload'!$B$5:$B$1004,$A8,'Log Rinci Payload'!$J$5:$J$1004,"SecLists",'Log Rinci Payload'!$K$5:$K$1004,"Not applicable",'Log Rinci Payload'!$L$5:$L$1004,"&lt;&gt;")=0,"",COUNTIFS('Log Rinci Payload'!$B$5:$B$1004,$A8,'Log Rinci Payload'!$J$5:$J$1004,"SecLists",'Log Rinci Payload'!$K$5:$K$1004,"Not applicable",'Log Rinci Payload'!$L$5:$L$1004,"&lt;&gt;"))</x:f>
      </x:c>
      <x:c r="K8" s="15" t="str">
        <x:f>IF(J8="","",SUMIFS('Log Rinci Payload'!$Y$5:$Y$1004,'Log Rinci Payload'!$B$5:$B$1004,$A8,'Log Rinci Payload'!$J$5:$J$1004,"SecLists",'Log Rinci Payload'!$K$5:$K$1004,"Not applicable"))</x:f>
      </x:c>
      <x:c r="L8" s="23" t="str">
        <x:f>IF(J8=0,"",K8/J8)</x:f>
      </x:c>
      <x:c r="M8" s="24" t="str">
        <x:f>IF(OR(F8="",L8=""),"",(F8-L8)*100)</x:f>
      </x:c>
      <x:c r="N8" s="15" t="str">
        <x:f>'Rekap Skenario S1-S12'!G8</x:f>
        <x:v>GT tervalidasi; uji sistem belum mulai</x:v>
      </x:c>
      <x:c r="O8" s="15" t="str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</x:row>
    <x:row r="9" ht="34" customHeight="1">
      <x:c r="A9" s="20" t="str">
        <x:f>'Rekap Skenario S1-S12'!A9</x:f>
        <x:v>S6</x:v>
      </x:c>
      <x:c r="B9" s="20" t="str">
        <x:f>'Rekap Skenario S1-S12'!C9</x:f>
        <x:v>Medium</x:v>
      </x:c>
      <x:c r="C9" s="20" t="str">
        <x:f>'Rekap Skenario S1-S12'!D9</x:f>
        <x:v>Time-based blind</x:v>
      </x:c>
      <x:c r="D9" s="15" t="str">
        <x:f>IF(COUNTIFS('Log Rinci Payload'!$B$5:$B$1004,$A9,'Log Rinci Payload'!$J$5:$J$1004,"LLM",'Log Rinci Payload'!$K$5:$K$1004,"On",'Log Rinci Payload'!$L$5:$L$1004,"&lt;&gt;")=0,"",COUNTIFS('Log Rinci Payload'!$B$5:$B$1004,$A9,'Log Rinci Payload'!$J$5:$J$1004,"LLM",'Log Rinci Payload'!$K$5:$K$1004,"On",'Log Rinci Payload'!$L$5:$L$1004,"&lt;&gt;"))</x:f>
      </x:c>
      <x:c r="E9" s="15" t="str">
        <x:f>IF(D9="","",SUMIFS('Log Rinci Payload'!$Y$5:$Y$1004,'Log Rinci Payload'!$B$5:$B$1004,$A9,'Log Rinci Payload'!$J$5:$J$1004,"LLM",'Log Rinci Payload'!$K$5:$K$1004,"On"))</x:f>
      </x:c>
      <x:c r="F9" s="23" t="str">
        <x:f>IF(D9=0,"",E9/D9)</x:f>
      </x:c>
      <x:c r="G9" s="15" t="str">
        <x:f>IF(COUNTIFS('Log Rinci Payload'!$B$5:$B$1004,$A9,'Log Rinci Payload'!$J$5:$J$1004,"LLM",'Log Rinci Payload'!$K$5:$K$1004,"Off",'Log Rinci Payload'!$L$5:$L$1004,"&lt;&gt;")=0,"",COUNTIFS('Log Rinci Payload'!$B$5:$B$1004,$A9,'Log Rinci Payload'!$J$5:$J$1004,"LLM",'Log Rinci Payload'!$K$5:$K$1004,"Off",'Log Rinci Payload'!$L$5:$L$1004,"&lt;&gt;"))</x:f>
      </x:c>
      <x:c r="H9" s="15" t="str">
        <x:f>IF(G9="","",SUMIFS('Log Rinci Payload'!$Y$5:$Y$1004,'Log Rinci Payload'!$B$5:$B$1004,$A9,'Log Rinci Payload'!$J$5:$J$1004,"LLM",'Log Rinci Payload'!$K$5:$K$1004,"Off"))</x:f>
      </x:c>
      <x:c r="I9" s="23" t="str">
        <x:f>IF(G9=0,"",H9/G9)</x:f>
      </x:c>
      <x:c r="J9" s="15" t="str">
        <x:f>IF(COUNTIFS('Log Rinci Payload'!$B$5:$B$1004,$A9,'Log Rinci Payload'!$J$5:$J$1004,"SecLists",'Log Rinci Payload'!$K$5:$K$1004,"Not applicable",'Log Rinci Payload'!$L$5:$L$1004,"&lt;&gt;")=0,"",COUNTIFS('Log Rinci Payload'!$B$5:$B$1004,$A9,'Log Rinci Payload'!$J$5:$J$1004,"SecLists",'Log Rinci Payload'!$K$5:$K$1004,"Not applicable",'Log Rinci Payload'!$L$5:$L$1004,"&lt;&gt;"))</x:f>
      </x:c>
      <x:c r="K9" s="15" t="str">
        <x:f>IF(J9="","",SUMIFS('Log Rinci Payload'!$Y$5:$Y$1004,'Log Rinci Payload'!$B$5:$B$1004,$A9,'Log Rinci Payload'!$J$5:$J$1004,"SecLists",'Log Rinci Payload'!$K$5:$K$1004,"Not applicable"))</x:f>
      </x:c>
      <x:c r="L9" s="23" t="str">
        <x:f>IF(J9=0,"",K9/J9)</x:f>
      </x:c>
      <x:c r="M9" s="24" t="str">
        <x:f>IF(OR(F9="",L9=""),"",(F9-L9)*100)</x:f>
      </x:c>
      <x:c r="N9" s="15" t="str">
        <x:f>'Rekap Skenario S1-S12'!G9</x:f>
        <x:v>GT tervalidasi; uji sistem belum mulai</x:v>
      </x:c>
      <x:c r="O9" s="15" t="str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</x:row>
    <x:row r="10" ht="34" customHeight="1">
      <x:c r="A10" s="20" t="str">
        <x:f>'Rekap Skenario S1-S12'!A10</x:f>
        <x:v>S7</x:v>
      </x:c>
      <x:c r="B10" s="20" t="str">
        <x:f>'Rekap Skenario S1-S12'!C10</x:f>
        <x:v>High</x:v>
      </x:c>
      <x:c r="C10" s="20" t="str">
        <x:f>'Rekap Skenario S1-S12'!D10</x:f>
        <x:v>Error-based</x:v>
      </x:c>
      <x:c r="D10" s="15" t="str">
        <x:f>IF(COUNTIFS('Log Rinci Payload'!$B$5:$B$1004,$A10,'Log Rinci Payload'!$J$5:$J$1004,"LLM",'Log Rinci Payload'!$K$5:$K$1004,"On",'Log Rinci Payload'!$L$5:$L$1004,"&lt;&gt;")=0,"",COUNTIFS('Log Rinci Payload'!$B$5:$B$1004,$A10,'Log Rinci Payload'!$J$5:$J$1004,"LLM",'Log Rinci Payload'!$K$5:$K$1004,"On",'Log Rinci Payload'!$L$5:$L$1004,"&lt;&gt;"))</x:f>
      </x:c>
      <x:c r="E10" s="15" t="str">
        <x:f>IF(D10="","",SUMIFS('Log Rinci Payload'!$Y$5:$Y$1004,'Log Rinci Payload'!$B$5:$B$1004,$A10,'Log Rinci Payload'!$J$5:$J$1004,"LLM",'Log Rinci Payload'!$K$5:$K$1004,"On"))</x:f>
      </x:c>
      <x:c r="F10" s="23" t="str">
        <x:f>IF(D10=0,"",E10/D10)</x:f>
      </x:c>
      <x:c r="G10" s="15" t="str">
        <x:f>IF(COUNTIFS('Log Rinci Payload'!$B$5:$B$1004,$A10,'Log Rinci Payload'!$J$5:$J$1004,"LLM",'Log Rinci Payload'!$K$5:$K$1004,"Off",'Log Rinci Payload'!$L$5:$L$1004,"&lt;&gt;")=0,"",COUNTIFS('Log Rinci Payload'!$B$5:$B$1004,$A10,'Log Rinci Payload'!$J$5:$J$1004,"LLM",'Log Rinci Payload'!$K$5:$K$1004,"Off",'Log Rinci Payload'!$L$5:$L$1004,"&lt;&gt;"))</x:f>
      </x:c>
      <x:c r="H10" s="15" t="str">
        <x:f>IF(G10="","",SUMIFS('Log Rinci Payload'!$Y$5:$Y$1004,'Log Rinci Payload'!$B$5:$B$1004,$A10,'Log Rinci Payload'!$J$5:$J$1004,"LLM",'Log Rinci Payload'!$K$5:$K$1004,"Off"))</x:f>
      </x:c>
      <x:c r="I10" s="23" t="str">
        <x:f>IF(G10=0,"",H10/G10)</x:f>
      </x:c>
      <x:c r="J10" s="15" t="str">
        <x:f>IF(COUNTIFS('Log Rinci Payload'!$B$5:$B$1004,$A10,'Log Rinci Payload'!$J$5:$J$1004,"SecLists",'Log Rinci Payload'!$K$5:$K$1004,"Not applicable",'Log Rinci Payload'!$L$5:$L$1004,"&lt;&gt;")=0,"",COUNTIFS('Log Rinci Payload'!$B$5:$B$1004,$A10,'Log Rinci Payload'!$J$5:$J$1004,"SecLists",'Log Rinci Payload'!$K$5:$K$1004,"Not applicable",'Log Rinci Payload'!$L$5:$L$1004,"&lt;&gt;"))</x:f>
      </x:c>
      <x:c r="K10" s="15" t="str">
        <x:f>IF(J10="","",SUMIFS('Log Rinci Payload'!$Y$5:$Y$1004,'Log Rinci Payload'!$B$5:$B$1004,$A10,'Log Rinci Payload'!$J$5:$J$1004,"SecLists",'Log Rinci Payload'!$K$5:$K$1004,"Not applicable"))</x:f>
      </x:c>
      <x:c r="L10" s="23" t="str">
        <x:f>IF(J10=0,"",K10/J10)</x:f>
      </x:c>
      <x:c r="M10" s="24" t="str">
        <x:f>IF(OR(F10="",L10=""),"",(F10-L10)*100)</x:f>
      </x:c>
      <x:c r="N10" s="15" t="str">
        <x:f>'Rekap Skenario S1-S12'!G10</x:f>
        <x:v>GT tervalidasi; uji sistem belum mulai</x:v>
      </x:c>
      <x:c r="O10" s="15" t="str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</x:row>
    <x:row r="11" ht="34" customHeight="1">
      <x:c r="A11" s="20" t="str">
        <x:f>'Rekap Skenario S1-S12'!A11</x:f>
        <x:v>S8</x:v>
      </x:c>
      <x:c r="B11" s="20" t="str">
        <x:f>'Rekap Skenario S1-S12'!C11</x:f>
        <x:v>High</x:v>
      </x:c>
      <x:c r="C11" s="20" t="str">
        <x:f>'Rekap Skenario S1-S12'!D11</x:f>
        <x:v>Boolean-based blind</x:v>
      </x:c>
      <x:c r="D11" s="15" t="str">
        <x:f>IF(COUNTIFS('Log Rinci Payload'!$B$5:$B$1004,$A11,'Log Rinci Payload'!$J$5:$J$1004,"LLM",'Log Rinci Payload'!$K$5:$K$1004,"On",'Log Rinci Payload'!$L$5:$L$1004,"&lt;&gt;")=0,"",COUNTIFS('Log Rinci Payload'!$B$5:$B$1004,$A11,'Log Rinci Payload'!$J$5:$J$1004,"LLM",'Log Rinci Payload'!$K$5:$K$1004,"On",'Log Rinci Payload'!$L$5:$L$1004,"&lt;&gt;"))</x:f>
      </x:c>
      <x:c r="E11" s="15" t="str">
        <x:f>IF(D11="","",SUMIFS('Log Rinci Payload'!$Y$5:$Y$1004,'Log Rinci Payload'!$B$5:$B$1004,$A11,'Log Rinci Payload'!$J$5:$J$1004,"LLM",'Log Rinci Payload'!$K$5:$K$1004,"On"))</x:f>
      </x:c>
      <x:c r="F11" s="23" t="str">
        <x:f>IF(D11=0,"",E11/D11)</x:f>
      </x:c>
      <x:c r="G11" s="15" t="str">
        <x:f>IF(COUNTIFS('Log Rinci Payload'!$B$5:$B$1004,$A11,'Log Rinci Payload'!$J$5:$J$1004,"LLM",'Log Rinci Payload'!$K$5:$K$1004,"Off",'Log Rinci Payload'!$L$5:$L$1004,"&lt;&gt;")=0,"",COUNTIFS('Log Rinci Payload'!$B$5:$B$1004,$A11,'Log Rinci Payload'!$J$5:$J$1004,"LLM",'Log Rinci Payload'!$K$5:$K$1004,"Off",'Log Rinci Payload'!$L$5:$L$1004,"&lt;&gt;"))</x:f>
      </x:c>
      <x:c r="H11" s="15" t="str">
        <x:f>IF(G11="","",SUMIFS('Log Rinci Payload'!$Y$5:$Y$1004,'Log Rinci Payload'!$B$5:$B$1004,$A11,'Log Rinci Payload'!$J$5:$J$1004,"LLM",'Log Rinci Payload'!$K$5:$K$1004,"Off"))</x:f>
      </x:c>
      <x:c r="I11" s="23" t="str">
        <x:f>IF(G11=0,"",H11/G11)</x:f>
      </x:c>
      <x:c r="J11" s="15" t="str">
        <x:f>IF(COUNTIFS('Log Rinci Payload'!$B$5:$B$1004,$A11,'Log Rinci Payload'!$J$5:$J$1004,"SecLists",'Log Rinci Payload'!$K$5:$K$1004,"Not applicable",'Log Rinci Payload'!$L$5:$L$1004,"&lt;&gt;")=0,"",COUNTIFS('Log Rinci Payload'!$B$5:$B$1004,$A11,'Log Rinci Payload'!$J$5:$J$1004,"SecLists",'Log Rinci Payload'!$K$5:$K$1004,"Not applicable",'Log Rinci Payload'!$L$5:$L$1004,"&lt;&gt;"))</x:f>
      </x:c>
      <x:c r="K11" s="15" t="str">
        <x:f>IF(J11="","",SUMIFS('Log Rinci Payload'!$Y$5:$Y$1004,'Log Rinci Payload'!$B$5:$B$1004,$A11,'Log Rinci Payload'!$J$5:$J$1004,"SecLists",'Log Rinci Payload'!$K$5:$K$1004,"Not applicable"))</x:f>
      </x:c>
      <x:c r="L11" s="23" t="str">
        <x:f>IF(J11=0,"",K11/J11)</x:f>
      </x:c>
      <x:c r="M11" s="24" t="str">
        <x:f>IF(OR(F11="",L11=""),"",(F11-L11)*100)</x:f>
      </x:c>
      <x:c r="N11" s="15" t="str">
        <x:f>'Rekap Skenario S1-S12'!G11</x:f>
        <x:v>GT tervalidasi; uji sistem belum mulai</x:v>
      </x:c>
      <x:c r="O11" s="15" t="str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</x:row>
    <x:row r="12" ht="34" customHeight="1">
      <x:c r="A12" s="20" t="str">
        <x:f>'Rekap Skenario S1-S12'!A12</x:f>
        <x:v>S9</x:v>
      </x:c>
      <x:c r="B12" s="20" t="str">
        <x:f>'Rekap Skenario S1-S12'!C12</x:f>
        <x:v>High</x:v>
      </x:c>
      <x:c r="C12" s="20" t="str">
        <x:f>'Rekap Skenario S1-S12'!D12</x:f>
        <x:v>Time-based blind</x:v>
      </x:c>
      <x:c r="D12" s="15" t="str">
        <x:f>IF(COUNTIFS('Log Rinci Payload'!$B$5:$B$1004,$A12,'Log Rinci Payload'!$J$5:$J$1004,"LLM",'Log Rinci Payload'!$K$5:$K$1004,"On",'Log Rinci Payload'!$L$5:$L$1004,"&lt;&gt;")=0,"",COUNTIFS('Log Rinci Payload'!$B$5:$B$1004,$A12,'Log Rinci Payload'!$J$5:$J$1004,"LLM",'Log Rinci Payload'!$K$5:$K$1004,"On",'Log Rinci Payload'!$L$5:$L$1004,"&lt;&gt;"))</x:f>
      </x:c>
      <x:c r="E12" s="15" t="str">
        <x:f>IF(D12="","",SUMIFS('Log Rinci Payload'!$Y$5:$Y$1004,'Log Rinci Payload'!$B$5:$B$1004,$A12,'Log Rinci Payload'!$J$5:$J$1004,"LLM",'Log Rinci Payload'!$K$5:$K$1004,"On"))</x:f>
      </x:c>
      <x:c r="F12" s="23" t="str">
        <x:f>IF(D12=0,"",E12/D12)</x:f>
      </x:c>
      <x:c r="G12" s="15" t="str">
        <x:f>IF(COUNTIFS('Log Rinci Payload'!$B$5:$B$1004,$A12,'Log Rinci Payload'!$J$5:$J$1004,"LLM",'Log Rinci Payload'!$K$5:$K$1004,"Off",'Log Rinci Payload'!$L$5:$L$1004,"&lt;&gt;")=0,"",COUNTIFS('Log Rinci Payload'!$B$5:$B$1004,$A12,'Log Rinci Payload'!$J$5:$J$1004,"LLM",'Log Rinci Payload'!$K$5:$K$1004,"Off",'Log Rinci Payload'!$L$5:$L$1004,"&lt;&gt;"))</x:f>
      </x:c>
      <x:c r="H12" s="15" t="str">
        <x:f>IF(G12="","",SUMIFS('Log Rinci Payload'!$Y$5:$Y$1004,'Log Rinci Payload'!$B$5:$B$1004,$A12,'Log Rinci Payload'!$J$5:$J$1004,"LLM",'Log Rinci Payload'!$K$5:$K$1004,"Off"))</x:f>
      </x:c>
      <x:c r="I12" s="23" t="str">
        <x:f>IF(G12=0,"",H12/G12)</x:f>
      </x:c>
      <x:c r="J12" s="15" t="str">
        <x:f>IF(COUNTIFS('Log Rinci Payload'!$B$5:$B$1004,$A12,'Log Rinci Payload'!$J$5:$J$1004,"SecLists",'Log Rinci Payload'!$K$5:$K$1004,"Not applicable",'Log Rinci Payload'!$L$5:$L$1004,"&lt;&gt;")=0,"",COUNTIFS('Log Rinci Payload'!$B$5:$B$1004,$A12,'Log Rinci Payload'!$J$5:$J$1004,"SecLists",'Log Rinci Payload'!$K$5:$K$1004,"Not applicable",'Log Rinci Payload'!$L$5:$L$1004,"&lt;&gt;"))</x:f>
      </x:c>
      <x:c r="K12" s="15" t="str">
        <x:f>IF(J12="","",SUMIFS('Log Rinci Payload'!$Y$5:$Y$1004,'Log Rinci Payload'!$B$5:$B$1004,$A12,'Log Rinci Payload'!$J$5:$J$1004,"SecLists",'Log Rinci Payload'!$K$5:$K$1004,"Not applicable"))</x:f>
      </x:c>
      <x:c r="L12" s="23" t="str">
        <x:f>IF(J12=0,"",K12/J12)</x:f>
      </x:c>
      <x:c r="M12" s="24" t="str">
        <x:f>IF(OR(F12="",L12=""),"",(F12-L12)*100)</x:f>
      </x:c>
      <x:c r="N12" s="15" t="str">
        <x:f>'Rekap Skenario S1-S12'!G12</x:f>
        <x:v>GT tervalidasi; uji sistem belum mulai</x:v>
      </x:c>
      <x:c r="O12" s="15" t="str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</x:row>
    <x:row r="13" ht="34" customHeight="1">
      <x:c r="A13" s="20" t="str">
        <x:f>'Rekap Skenario S1-S12'!A13</x:f>
        <x:v>S10</x:v>
      </x:c>
      <x:c r="B13" s="20" t="str">
        <x:f>'Rekap Skenario S1-S12'!C13</x:f>
        <x:v>Impossible</x:v>
      </x:c>
      <x:c r="C13" s="20" t="str">
        <x:f>'Rekap Skenario S1-S12'!D13</x:f>
        <x:v>Error-based</x:v>
      </x:c>
      <x:c r="D13" s="15" t="str">
        <x:f>IF(COUNTIFS('Log Rinci Payload'!$B$5:$B$1004,$A13,'Log Rinci Payload'!$J$5:$J$1004,"LLM",'Log Rinci Payload'!$K$5:$K$1004,"On",'Log Rinci Payload'!$L$5:$L$1004,"&lt;&gt;")=0,"",COUNTIFS('Log Rinci Payload'!$B$5:$B$1004,$A13,'Log Rinci Payload'!$J$5:$J$1004,"LLM",'Log Rinci Payload'!$K$5:$K$1004,"On",'Log Rinci Payload'!$L$5:$L$1004,"&lt;&gt;"))</x:f>
      </x:c>
      <x:c r="E13" s="15" t="str">
        <x:f>IF(D13="","",SUMIFS('Log Rinci Payload'!$Y$5:$Y$1004,'Log Rinci Payload'!$B$5:$B$1004,$A13,'Log Rinci Payload'!$J$5:$J$1004,"LLM",'Log Rinci Payload'!$K$5:$K$1004,"On"))</x:f>
      </x:c>
      <x:c r="F13" s="23" t="str">
        <x:f>IF(D13=0,"",E13/D13)</x:f>
      </x:c>
      <x:c r="G13" s="15" t="str">
        <x:f>IF(COUNTIFS('Log Rinci Payload'!$B$5:$B$1004,$A13,'Log Rinci Payload'!$J$5:$J$1004,"LLM",'Log Rinci Payload'!$K$5:$K$1004,"Off",'Log Rinci Payload'!$L$5:$L$1004,"&lt;&gt;")=0,"",COUNTIFS('Log Rinci Payload'!$B$5:$B$1004,$A13,'Log Rinci Payload'!$J$5:$J$1004,"LLM",'Log Rinci Payload'!$K$5:$K$1004,"Off",'Log Rinci Payload'!$L$5:$L$1004,"&lt;&gt;"))</x:f>
      </x:c>
      <x:c r="H13" s="15" t="str">
        <x:f>IF(G13="","",SUMIFS('Log Rinci Payload'!$Y$5:$Y$1004,'Log Rinci Payload'!$B$5:$B$1004,$A13,'Log Rinci Payload'!$J$5:$J$1004,"LLM",'Log Rinci Payload'!$K$5:$K$1004,"Off"))</x:f>
      </x:c>
      <x:c r="I13" s="23" t="str">
        <x:f>IF(G13=0,"",H13/G13)</x:f>
      </x:c>
      <x:c r="J13" s="15" t="str">
        <x:f>IF(COUNTIFS('Log Rinci Payload'!$B$5:$B$1004,$A13,'Log Rinci Payload'!$J$5:$J$1004,"SecLists",'Log Rinci Payload'!$K$5:$K$1004,"Not applicable",'Log Rinci Payload'!$L$5:$L$1004,"&lt;&gt;")=0,"",COUNTIFS('Log Rinci Payload'!$B$5:$B$1004,$A13,'Log Rinci Payload'!$J$5:$J$1004,"SecLists",'Log Rinci Payload'!$K$5:$K$1004,"Not applicable",'Log Rinci Payload'!$L$5:$L$1004,"&lt;&gt;"))</x:f>
      </x:c>
      <x:c r="K13" s="15" t="str">
        <x:f>IF(J13="","",SUMIFS('Log Rinci Payload'!$Y$5:$Y$1004,'Log Rinci Payload'!$B$5:$B$1004,$A13,'Log Rinci Payload'!$J$5:$J$1004,"SecLists",'Log Rinci Payload'!$K$5:$K$1004,"Not applicable"))</x:f>
      </x:c>
      <x:c r="L13" s="23" t="str">
        <x:f>IF(J13=0,"",K13/J13)</x:f>
      </x:c>
      <x:c r="M13" s="24" t="str">
        <x:f>IF(OR(F13="",L13=""),"",(F13-L13)*100)</x:f>
      </x:c>
      <x:c r="N13" s="15" t="str">
        <x:f>'Rekap Skenario S1-S12'!G13</x:f>
        <x:v>GT tervalidasi; uji sistem belum mulai</x:v>
      </x:c>
      <x:c r="O13" s="15" t="str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</x:row>
    <x:row r="14" ht="34" customHeight="1">
      <x:c r="A14" s="20" t="str">
        <x:f>'Rekap Skenario S1-S12'!A14</x:f>
        <x:v>S11</x:v>
      </x:c>
      <x:c r="B14" s="20" t="str">
        <x:f>'Rekap Skenario S1-S12'!C14</x:f>
        <x:v>Impossible</x:v>
      </x:c>
      <x:c r="C14" s="20" t="str">
        <x:f>'Rekap Skenario S1-S12'!D14</x:f>
        <x:v>Boolean-based blind</x:v>
      </x:c>
      <x:c r="D14" s="15" t="str">
        <x:f>IF(COUNTIFS('Log Rinci Payload'!$B$5:$B$1004,$A14,'Log Rinci Payload'!$J$5:$J$1004,"LLM",'Log Rinci Payload'!$K$5:$K$1004,"On",'Log Rinci Payload'!$L$5:$L$1004,"&lt;&gt;")=0,"",COUNTIFS('Log Rinci Payload'!$B$5:$B$1004,$A14,'Log Rinci Payload'!$J$5:$J$1004,"LLM",'Log Rinci Payload'!$K$5:$K$1004,"On",'Log Rinci Payload'!$L$5:$L$1004,"&lt;&gt;"))</x:f>
      </x:c>
      <x:c r="E14" s="15" t="str">
        <x:f>IF(D14="","",SUMIFS('Log Rinci Payload'!$Y$5:$Y$1004,'Log Rinci Payload'!$B$5:$B$1004,$A14,'Log Rinci Payload'!$J$5:$J$1004,"LLM",'Log Rinci Payload'!$K$5:$K$1004,"On"))</x:f>
      </x:c>
      <x:c r="F14" s="23" t="str">
        <x:f>IF(D14=0,"",E14/D14)</x:f>
      </x:c>
      <x:c r="G14" s="15" t="str">
        <x:f>IF(COUNTIFS('Log Rinci Payload'!$B$5:$B$1004,$A14,'Log Rinci Payload'!$J$5:$J$1004,"LLM",'Log Rinci Payload'!$K$5:$K$1004,"Off",'Log Rinci Payload'!$L$5:$L$1004,"&lt;&gt;")=0,"",COUNTIFS('Log Rinci Payload'!$B$5:$B$1004,$A14,'Log Rinci Payload'!$J$5:$J$1004,"LLM",'Log Rinci Payload'!$K$5:$K$1004,"Off",'Log Rinci Payload'!$L$5:$L$1004,"&lt;&gt;"))</x:f>
      </x:c>
      <x:c r="H14" s="15" t="str">
        <x:f>IF(G14="","",SUMIFS('Log Rinci Payload'!$Y$5:$Y$1004,'Log Rinci Payload'!$B$5:$B$1004,$A14,'Log Rinci Payload'!$J$5:$J$1004,"LLM",'Log Rinci Payload'!$K$5:$K$1004,"Off"))</x:f>
      </x:c>
      <x:c r="I14" s="23" t="str">
        <x:f>IF(G14=0,"",H14/G14)</x:f>
      </x:c>
      <x:c r="J14" s="15" t="str">
        <x:f>IF(COUNTIFS('Log Rinci Payload'!$B$5:$B$1004,$A14,'Log Rinci Payload'!$J$5:$J$1004,"SecLists",'Log Rinci Payload'!$K$5:$K$1004,"Not applicable",'Log Rinci Payload'!$L$5:$L$1004,"&lt;&gt;")=0,"",COUNTIFS('Log Rinci Payload'!$B$5:$B$1004,$A14,'Log Rinci Payload'!$J$5:$J$1004,"SecLists",'Log Rinci Payload'!$K$5:$K$1004,"Not applicable",'Log Rinci Payload'!$L$5:$L$1004,"&lt;&gt;"))</x:f>
      </x:c>
      <x:c r="K14" s="15" t="str">
        <x:f>IF(J14="","",SUMIFS('Log Rinci Payload'!$Y$5:$Y$1004,'Log Rinci Payload'!$B$5:$B$1004,$A14,'Log Rinci Payload'!$J$5:$J$1004,"SecLists",'Log Rinci Payload'!$K$5:$K$1004,"Not applicable"))</x:f>
      </x:c>
      <x:c r="L14" s="23" t="str">
        <x:f>IF(J14=0,"",K14/J14)</x:f>
      </x:c>
      <x:c r="M14" s="24" t="str">
        <x:f>IF(OR(F14="",L14=""),"",(F14-L14)*100)</x:f>
      </x:c>
      <x:c r="N14" s="15" t="str">
        <x:f>'Rekap Skenario S1-S12'!G14</x:f>
        <x:v>GT tervalidasi; uji sistem belum mulai</x:v>
      </x:c>
      <x:c r="O14" s="15" t="str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</x:row>
    <x:row r="15" ht="34" customHeight="1">
      <x:c r="A15" s="20" t="str">
        <x:f>'Rekap Skenario S1-S12'!A15</x:f>
        <x:v>S12</x:v>
      </x:c>
      <x:c r="B15" s="20" t="str">
        <x:f>'Rekap Skenario S1-S12'!C15</x:f>
        <x:v>Impossible</x:v>
      </x:c>
      <x:c r="C15" s="20" t="str">
        <x:f>'Rekap Skenario S1-S12'!D15</x:f>
        <x:v>Time-based blind</x:v>
      </x:c>
      <x:c r="D15" s="15" t="str">
        <x:f>IF(COUNTIFS('Log Rinci Payload'!$B$5:$B$1004,$A15,'Log Rinci Payload'!$J$5:$J$1004,"LLM",'Log Rinci Payload'!$K$5:$K$1004,"On",'Log Rinci Payload'!$L$5:$L$1004,"&lt;&gt;")=0,"",COUNTIFS('Log Rinci Payload'!$B$5:$B$1004,$A15,'Log Rinci Payload'!$J$5:$J$1004,"LLM",'Log Rinci Payload'!$K$5:$K$1004,"On",'Log Rinci Payload'!$L$5:$L$1004,"&lt;&gt;"))</x:f>
      </x:c>
      <x:c r="E15" s="15" t="str">
        <x:f>IF(D15="","",SUMIFS('Log Rinci Payload'!$Y$5:$Y$1004,'Log Rinci Payload'!$B$5:$B$1004,$A15,'Log Rinci Payload'!$J$5:$J$1004,"LLM",'Log Rinci Payload'!$K$5:$K$1004,"On"))</x:f>
      </x:c>
      <x:c r="F15" s="23" t="str">
        <x:f>IF(D15=0,"",E15/D15)</x:f>
      </x:c>
      <x:c r="G15" s="15" t="str">
        <x:f>IF(COUNTIFS('Log Rinci Payload'!$B$5:$B$1004,$A15,'Log Rinci Payload'!$J$5:$J$1004,"LLM",'Log Rinci Payload'!$K$5:$K$1004,"Off",'Log Rinci Payload'!$L$5:$L$1004,"&lt;&gt;")=0,"",COUNTIFS('Log Rinci Payload'!$B$5:$B$1004,$A15,'Log Rinci Payload'!$J$5:$J$1004,"LLM",'Log Rinci Payload'!$K$5:$K$1004,"Off",'Log Rinci Payload'!$L$5:$L$1004,"&lt;&gt;"))</x:f>
      </x:c>
      <x:c r="H15" s="15" t="str">
        <x:f>IF(G15="","",SUMIFS('Log Rinci Payload'!$Y$5:$Y$1004,'Log Rinci Payload'!$B$5:$B$1004,$A15,'Log Rinci Payload'!$J$5:$J$1004,"LLM",'Log Rinci Payload'!$K$5:$K$1004,"Off"))</x:f>
      </x:c>
      <x:c r="I15" s="23" t="str">
        <x:f>IF(G15=0,"",H15/G15)</x:f>
      </x:c>
      <x:c r="J15" s="15" t="str">
        <x:f>IF(COUNTIFS('Log Rinci Payload'!$B$5:$B$1004,$A15,'Log Rinci Payload'!$J$5:$J$1004,"SecLists",'Log Rinci Payload'!$K$5:$K$1004,"Not applicable",'Log Rinci Payload'!$L$5:$L$1004,"&lt;&gt;")=0,"",COUNTIFS('Log Rinci Payload'!$B$5:$B$1004,$A15,'Log Rinci Payload'!$J$5:$J$1004,"SecLists",'Log Rinci Payload'!$K$5:$K$1004,"Not applicable",'Log Rinci Payload'!$L$5:$L$1004,"&lt;&gt;"))</x:f>
      </x:c>
      <x:c r="K15" s="15" t="str">
        <x:f>IF(J15="","",SUMIFS('Log Rinci Payload'!$Y$5:$Y$1004,'Log Rinci Payload'!$B$5:$B$1004,$A15,'Log Rinci Payload'!$J$5:$J$1004,"SecLists",'Log Rinci Payload'!$K$5:$K$1004,"Not applicable"))</x:f>
      </x:c>
      <x:c r="L15" s="23" t="str">
        <x:f>IF(J15=0,"",K15/J15)</x:f>
      </x:c>
      <x:c r="M15" s="24" t="str">
        <x:f>IF(OR(F15="",L15=""),"",(F15-L15)*100)</x:f>
      </x:c>
      <x:c r="N15" s="15" t="str">
        <x:f>'Rekap Skenario S1-S12'!G15</x:f>
        <x:v>GT tervalidasi; uji sistem belum mulai</x:v>
      </x:c>
      <x:c r="O15" s="15" t="str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5" t="str">
        <x:v>Ablasi FPR — RAG On vs Off (skenario ground truth negatif)</x:v>
      </x:c>
      <x:c r="B1" s="5"/>
      <x:c r="C1" s="5"/>
      <x:c r="D1" s="5"/>
      <x:c r="E1" s="5"/>
      <x:c r="F1" s="5"/>
      <x:c r="G1" s="5"/>
      <x:c r="H1" s="5"/>
      <x:c r="I1" s="5"/>
      <x:c r="J1" s="5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</x:row>
    <x:row r="3">
      <x:c r="A3" s="9" t="str">
        <x:v>Skenario</x:v>
      </x:c>
      <x:c r="B3" s="9" t="str">
        <x:v>Level</x:v>
      </x:c>
      <x:c r="C3" s="9" t="str">
        <x:v>Tipe SQLi</x:v>
      </x:c>
      <x:c r="D3" s="9" t="str">
        <x:v>FP RAG On</x:v>
      </x:c>
      <x:c r="E3" s="9" t="str">
        <x:v>TN RAG On</x:v>
      </x:c>
      <x:c r="F3" s="9" t="str">
        <x:v>FPR RAG On</x:v>
      </x:c>
      <x:c r="G3" s="9" t="str">
        <x:v>FP RAG Off</x:v>
      </x:c>
      <x:c r="H3" s="9" t="str">
        <x:v>TN RAG Off</x:v>
      </x:c>
      <x:c r="I3" s="9" t="str">
        <x:v>FPR RAG Off</x:v>
      </x:c>
      <x:c r="J3" s="9" t="str">
        <x:v>Perubahan Off−On (pp)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</x:row>
    <x:row r="4">
      <x:c r="A4" s="20" t="str">
        <x:f>'Rekap Skenario S1-S12'!A13</x:f>
        <x:v>S10</x:v>
      </x:c>
      <x:c r="B4" s="20" t="str">
        <x:f>'Rekap Skenario S1-S12'!C13</x:f>
        <x:v>Impossible</x:v>
      </x:c>
      <x:c r="C4" s="20" t="str">
        <x:f>'Rekap Skenario S1-S12'!D13</x:f>
        <x:v>Error-based</x:v>
      </x:c>
      <x:c r="D4" s="22" t="str">
        <x:f>IF(COUNTIFS('Log Rinci Payload'!$AB$5:$AB$1004,$A4,'Log Rinci Payload'!$AD$5:$AD$1004,"On",'Log Rinci Payload'!$AG$5:$AG$1004,"&lt;&gt;")=0,"",COUNTIFS('Log Rinci Payload'!$AB$5:$AB$1004,$A4,'Log Rinci Payload'!$AD$5:$AD$1004,"On",'Log Rinci Payload'!$AG$5:$AG$1004,"FP"))</x:f>
      </x:c>
      <x:c r="E4" s="22" t="str">
        <x:f>IF(D4="","",COUNTIFS('Log Rinci Payload'!$AB$5:$AB$1004,$A4,'Log Rinci Payload'!$AD$5:$AD$1004,"On",'Log Rinci Payload'!$AG$5:$AG$1004,"TN"))</x:f>
      </x:c>
      <x:c r="F4" s="23" t="str">
        <x:f>IF(D4+E4=0,"",D4/(D4+E4))</x:f>
      </x:c>
      <x:c r="G4" s="22" t="str">
        <x:f>IF(COUNTIFS('Log Rinci Payload'!$AB$5:$AB$1004,$A4,'Log Rinci Payload'!$AD$5:$AD$1004,"Off",'Log Rinci Payload'!$AG$5:$AG$1004,"&lt;&gt;")=0,"",COUNTIFS('Log Rinci Payload'!$AB$5:$AB$1004,$A4,'Log Rinci Payload'!$AD$5:$AD$1004,"Off",'Log Rinci Payload'!$AG$5:$AG$1004,"FP"))</x:f>
      </x:c>
      <x:c r="H4" s="22" t="str">
        <x:f>IF(G4="","",COUNTIFS('Log Rinci Payload'!$AB$5:$AB$1004,$A4,'Log Rinci Payload'!$AD$5:$AD$1004,"Off",'Log Rinci Payload'!$AG$5:$AG$1004,"TN"))</x:f>
      </x:c>
      <x:c r="I4" s="23" t="str">
        <x:f>IF(G4+H4=0,"",G4/(G4+H4))</x:f>
      </x:c>
      <x:c r="J4" s="24" t="str">
        <x:f>IF(OR(F4="",I4=""),"",(I4-F4)*100)</x:f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</x:row>
    <x:row r="5">
      <x:c r="A5" s="20" t="str">
        <x:f>'Rekap Skenario S1-S12'!A14</x:f>
        <x:v>S11</x:v>
      </x:c>
      <x:c r="B5" s="20" t="str">
        <x:f>'Rekap Skenario S1-S12'!C14</x:f>
        <x:v>Impossible</x:v>
      </x:c>
      <x:c r="C5" s="20" t="str">
        <x:f>'Rekap Skenario S1-S12'!D14</x:f>
        <x:v>Boolean-based blind</x:v>
      </x:c>
      <x:c r="D5" s="22" t="str">
        <x:f>IF(COUNTIFS('Log Rinci Payload'!$AB$5:$AB$1004,$A5,'Log Rinci Payload'!$AD$5:$AD$1004,"On",'Log Rinci Payload'!$AG$5:$AG$1004,"&lt;&gt;")=0,"",COUNTIFS('Log Rinci Payload'!$AB$5:$AB$1004,$A5,'Log Rinci Payload'!$AD$5:$AD$1004,"On",'Log Rinci Payload'!$AG$5:$AG$1004,"FP"))</x:f>
      </x:c>
      <x:c r="E5" s="22" t="str">
        <x:f>IF(D5="","",COUNTIFS('Log Rinci Payload'!$AB$5:$AB$1004,$A5,'Log Rinci Payload'!$AD$5:$AD$1004,"On",'Log Rinci Payload'!$AG$5:$AG$1004,"TN"))</x:f>
      </x:c>
      <x:c r="F5" s="23" t="str">
        <x:f>IF(D5+E5=0,"",D5/(D5+E5))</x:f>
      </x:c>
      <x:c r="G5" s="22" t="str">
        <x:f>IF(COUNTIFS('Log Rinci Payload'!$AB$5:$AB$1004,$A5,'Log Rinci Payload'!$AD$5:$AD$1004,"Off",'Log Rinci Payload'!$AG$5:$AG$1004,"&lt;&gt;")=0,"",COUNTIFS('Log Rinci Payload'!$AB$5:$AB$1004,$A5,'Log Rinci Payload'!$AD$5:$AD$1004,"Off",'Log Rinci Payload'!$AG$5:$AG$1004,"FP"))</x:f>
      </x:c>
      <x:c r="H5" s="22" t="str">
        <x:f>IF(G5="","",COUNTIFS('Log Rinci Payload'!$AB$5:$AB$1004,$A5,'Log Rinci Payload'!$AD$5:$AD$1004,"Off",'Log Rinci Payload'!$AG$5:$AG$1004,"TN"))</x:f>
      </x:c>
      <x:c r="I5" s="23" t="str">
        <x:f>IF(G5+H5=0,"",G5/(G5+H5))</x:f>
      </x:c>
      <x:c r="J5" s="24" t="str">
        <x:f>IF(OR(F5="",I5=""),"",(I5-F5)*100)</x:f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</x:row>
    <x:row r="6">
      <x:c r="A6" s="20" t="str">
        <x:f>'Rekap Skenario S1-S12'!A15</x:f>
        <x:v>S12</x:v>
      </x:c>
      <x:c r="B6" s="20" t="str">
        <x:f>'Rekap Skenario S1-S12'!C15</x:f>
        <x:v>Impossible</x:v>
      </x:c>
      <x:c r="C6" s="20" t="str">
        <x:f>'Rekap Skenario S1-S12'!D15</x:f>
        <x:v>Time-based blind</x:v>
      </x:c>
      <x:c r="D6" s="22" t="str">
        <x:f>IF(COUNTIFS('Log Rinci Payload'!$AB$5:$AB$1004,$A6,'Log Rinci Payload'!$AD$5:$AD$1004,"On",'Log Rinci Payload'!$AG$5:$AG$1004,"&lt;&gt;")=0,"",COUNTIFS('Log Rinci Payload'!$AB$5:$AB$1004,$A6,'Log Rinci Payload'!$AD$5:$AD$1004,"On",'Log Rinci Payload'!$AG$5:$AG$1004,"FP"))</x:f>
      </x:c>
      <x:c r="E6" s="22" t="str">
        <x:f>IF(D6="","",COUNTIFS('Log Rinci Payload'!$AB$5:$AB$1004,$A6,'Log Rinci Payload'!$AD$5:$AD$1004,"On",'Log Rinci Payload'!$AG$5:$AG$1004,"TN"))</x:f>
      </x:c>
      <x:c r="F6" s="23" t="str">
        <x:f>IF(D6+E6=0,"",D6/(D6+E6))</x:f>
      </x:c>
      <x:c r="G6" s="22" t="str">
        <x:f>IF(COUNTIFS('Log Rinci Payload'!$AB$5:$AB$1004,$A6,'Log Rinci Payload'!$AD$5:$AD$1004,"Off",'Log Rinci Payload'!$AG$5:$AG$1004,"&lt;&gt;")=0,"",COUNTIFS('Log Rinci Payload'!$AB$5:$AB$1004,$A6,'Log Rinci Payload'!$AD$5:$AD$1004,"Off",'Log Rinci Payload'!$AG$5:$AG$1004,"FP"))</x:f>
      </x:c>
      <x:c r="H6" s="22" t="str">
        <x:f>IF(G6="","",COUNTIFS('Log Rinci Payload'!$AB$5:$AB$1004,$A6,'Log Rinci Payload'!$AD$5:$AD$1004,"Off",'Log Rinci Payload'!$AG$5:$AG$1004,"TN"))</x:f>
      </x:c>
      <x:c r="I6" s="23" t="str">
        <x:f>IF(G6+H6=0,"",G6/(G6+H6))</x:f>
      </x:c>
      <x:c r="J6" s="24" t="str">
        <x:f>IF(OR(F6="",I6=""),"",(I6-F6)*100)</x:f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</x:row>
    <x:row r="7">
      <x:c r="A7" s="1"/>
      <x:c r="B7" s="1"/>
      <x:c r="C7" s="1"/>
      <x:c r="D7" s="1"/>
      <x:c r="E7" s="1"/>
      <x:c r="F7" s="25"/>
      <x:c r="G7" s="1"/>
      <x:c r="H7" s="1"/>
      <x:c r="I7" s="25"/>
      <x:c r="J7" s="27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</x:row>
    <x:row r="8">
      <x:c r="A8" s="19" t="str">
        <x:v>AGREGAT POOLED</x:v>
      </x:c>
      <x:c r="B8" s="19" t="str"/>
      <x:c r="C8" s="19" t="str">
        <x:v>Gabungan S10–S12</x:v>
      </x:c>
      <x:c r="D8" s="19" t="str">
        <x:f>IF(COUNT(D4:D6)=0,"",SUM(D4:D6))</x:f>
      </x:c>
      <x:c r="E8" s="19" t="str">
        <x:f>IF(COUNT(E4:E6)=0,"",SUM(E4:E6))</x:f>
      </x:c>
      <x:c r="F8" s="26" t="str">
        <x:f>IF(D8+E8=0,"",D8/(D8+E8))</x:f>
      </x:c>
      <x:c r="G8" s="19" t="str">
        <x:f>IF(COUNT(G4:G6)=0,"",SUM(G4:G6))</x:f>
      </x:c>
      <x:c r="H8" s="19" t="str">
        <x:f>IF(COUNT(H4:H6)=0,"",SUM(H4:H6))</x:f>
      </x:c>
      <x:c r="I8" s="26" t="str">
        <x:f>IF(G8+H8=0,"",G8/(G8+H8))</x:f>
      </x:c>
      <x:c r="J8" s="28" t="str">
        <x:f>IF(OR(F8="",I8=""),"",(I8-F8)*100)</x:f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0" hidden="0" customWidth="1"/>
    <x:col min="5" max="5" width="18" hidden="0" customWidth="1"/>
    <x:col min="6" max="6" width="2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4" hidden="0" customWidth="1"/>
    <x:col min="14" max="14" width="18" hidden="0" customWidth="1"/>
    <x:col min="15" max="15" width="42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46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13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44" hidden="0" customWidth="1"/>
  </x:cols>
  <x:sheetData>
    <x:row r="1" ht="34" customHeight="1">
      <x:c r="A1" s="5" t="str">
        <x:v>Log Rinci — Eksekusi Payload dan Keputusan Deteksi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>
      <x:c r="A2" s="31" t="str">
        <x:v>Tabel A — satu baris per payload yang benar-benar dikirim; jangan isi payload yang hanya dihasilkan.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1"/>
      <x:c r="AA2" s="31" t="str">
        <x:v>Tabel B — satu baris per keputusan sistem; wajib dicatat juga untuk hasil negatif/TN.</x:v>
      </x:c>
      <x:c r="AB2" s="31"/>
      <x:c r="AC2" s="31"/>
      <x:c r="AD2" s="31"/>
      <x:c r="AE2" s="31"/>
      <x:c r="AF2" s="31"/>
      <x:c r="AG2" s="3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</x:row>
    <x:row r="4" ht="50" customHeight="1">
      <x:c r="A4" s="9" t="str">
        <x:v>Run ID</x:v>
      </x:c>
      <x:c r="B4" s="9" t="str">
        <x:v>Skenario</x:v>
      </x:c>
      <x:c r="C4" s="9" t="str">
        <x:v>Replikasi</x:v>
      </x:c>
      <x:c r="D4" s="9" t="str">
        <x:v>Waktu</x:v>
      </x:c>
      <x:c r="E4" s="9" t="str">
        <x:v>Level</x:v>
      </x:c>
      <x:c r="F4" s="9" t="str">
        <x:v>Tipe SQLi</x:v>
      </x:c>
      <x:c r="G4" s="9" t="str">
        <x:v>Endpoint</x:v>
      </x:c>
      <x:c r="H4" s="9" t="str">
        <x:v>Metode HTTP</x:v>
      </x:c>
      <x:c r="I4" s="9" t="str">
        <x:v>Parameter</x:v>
      </x:c>
      <x:c r="J4" s="9" t="str">
        <x:v>Sumber Payload</x:v>
      </x:c>
      <x:c r="K4" s="9" t="str">
        <x:v>RAG</x:v>
      </x:c>
      <x:c r="L4" s="9" t="str">
        <x:v>Payload ID</x:v>
      </x:c>
      <x:c r="M4" s="9" t="str">
        <x:v>Payload String</x:v>
      </x:c>
      <x:c r="N4" s="9" t="str">
        <x:v>HTTP Status</x:v>
      </x:c>
      <x:c r="O4" s="9" t="str">
        <x:v>Indikator Respons</x:v>
      </x:c>
      <x:c r="P4" s="9" t="str">
        <x:v>Waktu Respons (ms)</x:v>
      </x:c>
      <x:c r="Q4" s="9" t="str">
        <x:v>Baseline (ms)</x:v>
      </x:c>
      <x:c r="R4" s="9" t="str">
        <x:v>Delta (ms)</x:v>
      </x:c>
      <x:c r="S4" s="9" t="str">
        <x:v>Analisis LLM</x:v>
      </x:c>
      <x:c r="T4" s="9" t="str">
        <x:v>Bukti LLM (sanitasi)</x:v>
      </x:c>
      <x:c r="U4" s="9" t="str">
        <x:v>Reproduksi</x:v>
      </x:c>
      <x:c r="V4" s="9" t="str">
        <x:v>Respons Sesuai</x:v>
      </x:c>
      <x:c r="W4" s="9" t="str">
        <x:v>Relevansi Payload</x:v>
      </x:c>
      <x:c r="X4" s="9" t="str">
        <x:v>Validasi Human</x:v>
      </x:c>
      <x:c r="Y4" s="9" t="str">
        <x:v>P_success</x:v>
      </x:c>
      <x:c r="Z4" s="1" t="str"/>
      <x:c r="AA4" s="9" t="str">
        <x:v>Run ID</x:v>
      </x:c>
      <x:c r="AB4" s="9" t="str">
        <x:v>Skenario</x:v>
      </x:c>
      <x:c r="AC4" s="9" t="str">
        <x:v>Replikasi</x:v>
      </x:c>
      <x:c r="AD4" s="9" t="str">
        <x:v>Konfigurasi RAG</x:v>
      </x:c>
      <x:c r="AE4" s="9" t="str">
        <x:v>Ground Truth</x:v>
      </x:c>
      <x:c r="AF4" s="9" t="str">
        <x:v>Keputusan Sistem</x:v>
      </x:c>
      <x:c r="AG4" s="9" t="str">
        <x:v>Kelas Otomatis</x:v>
      </x:c>
    </x:row>
    <x:row r="5">
      <x:c r="A5" s="15"/>
      <x:c r="B5" s="15"/>
      <x:c r="C5" s="15"/>
      <x:c r="D5" s="34"/>
      <x:c r="E5" s="15"/>
      <x:c r="F5" s="15"/>
      <x:c r="G5" s="15"/>
      <x:c r="H5" s="15"/>
      <x:c r="I5" s="15"/>
      <x:c r="J5" s="15"/>
      <x:c r="K5" s="15"/>
      <x:c r="L5" s="15"/>
      <x:c r="M5" s="15"/>
      <x:c r="N5" s="36"/>
      <x:c r="O5" s="15"/>
      <x:c r="P5" s="38"/>
      <x:c r="Q5" s="38"/>
      <x:c r="R5" s="39" t="str">
        <x:f>IF(OR(P5="",Q5=""),"",P5-Q5)</x:f>
      </x:c>
      <x:c r="S5" s="15"/>
      <x:c r="T5" s="15"/>
      <x:c r="U5" s="15"/>
      <x:c r="V5" s="15"/>
      <x:c r="W5" s="15"/>
      <x:c r="X5" s="15"/>
      <x:c r="Y5" s="42" t="str">
        <x:f>IF(OR(X5="",X5="Pending"),"",IF(X5="Rejected",0,IF(AND(U5="Ya",V5="Ya",W5="Ya"),1,"")))</x:f>
      </x:c>
      <x:c r="Z5" s="1"/>
      <x:c r="AA5" s="15"/>
      <x:c r="AB5" s="15"/>
      <x:c r="AC5" s="15"/>
      <x:c r="AD5" s="15"/>
      <x:c r="AE5" s="15"/>
      <x:c r="AF5" s="15"/>
      <x:c r="AG5" s="22" t="str">
        <x:f>IF(OR(AE5="",AF5=""),"",IF(AE5="Positif",IF(AF5="Positif","TP","FN"),IF(AF5="Positif","FP","TN")))</x:f>
      </x:c>
    </x:row>
    <x:row r="6">
      <x:c r="A6" s="15"/>
      <x:c r="B6" s="15"/>
      <x:c r="C6" s="15"/>
      <x:c r="D6" s="34"/>
      <x:c r="E6" s="15"/>
      <x:c r="F6" s="15"/>
      <x:c r="G6" s="15"/>
      <x:c r="H6" s="15"/>
      <x:c r="I6" s="15"/>
      <x:c r="J6" s="15"/>
      <x:c r="K6" s="15"/>
      <x:c r="L6" s="15"/>
      <x:c r="M6" s="15"/>
      <x:c r="N6" s="36"/>
      <x:c r="O6" s="15"/>
      <x:c r="P6" s="38"/>
      <x:c r="Q6" s="38"/>
      <x:c r="R6" s="39" t="str">
        <x:f>IF(OR(P6="",Q6=""),"",P6-Q6)</x:f>
      </x:c>
      <x:c r="S6" s="15"/>
      <x:c r="T6" s="15"/>
      <x:c r="U6" s="15"/>
      <x:c r="V6" s="15"/>
      <x:c r="W6" s="15"/>
      <x:c r="X6" s="15"/>
      <x:c r="Y6" s="42" t="str">
        <x:f>IF(OR(X6="",X6="Pending"),"",IF(X6="Rejected",0,IF(AND(U6="Ya",V6="Ya",W6="Ya"),1,"")))</x:f>
      </x:c>
      <x:c r="Z6" s="1"/>
      <x:c r="AA6" s="15"/>
      <x:c r="AB6" s="15"/>
      <x:c r="AC6" s="15"/>
      <x:c r="AD6" s="15"/>
      <x:c r="AE6" s="15"/>
      <x:c r="AF6" s="15"/>
      <x:c r="AG6" s="22" t="str">
        <x:f>IF(OR(AE6="",AF6=""),"",IF(AE6="Positif",IF(AF6="Positif","TP","FN"),IF(AF6="Positif","FP","TN")))</x:f>
      </x:c>
    </x:row>
    <x:row r="7">
      <x:c r="A7" s="15"/>
      <x:c r="B7" s="15"/>
      <x:c r="C7" s="15"/>
      <x:c r="D7" s="34"/>
      <x:c r="E7" s="15"/>
      <x:c r="F7" s="15"/>
      <x:c r="G7" s="15"/>
      <x:c r="H7" s="15"/>
      <x:c r="I7" s="15"/>
      <x:c r="J7" s="15"/>
      <x:c r="K7" s="15"/>
      <x:c r="L7" s="15"/>
      <x:c r="M7" s="15"/>
      <x:c r="N7" s="36"/>
      <x:c r="O7" s="15"/>
      <x:c r="P7" s="38"/>
      <x:c r="Q7" s="38"/>
      <x:c r="R7" s="39" t="str">
        <x:f>IF(OR(P7="",Q7=""),"",P7-Q7)</x:f>
      </x:c>
      <x:c r="S7" s="15"/>
      <x:c r="T7" s="15"/>
      <x:c r="U7" s="15"/>
      <x:c r="V7" s="15"/>
      <x:c r="W7" s="15"/>
      <x:c r="X7" s="15"/>
      <x:c r="Y7" s="42" t="str">
        <x:f>IF(OR(X7="",X7="Pending"),"",IF(X7="Rejected",0,IF(AND(U7="Ya",V7="Ya",W7="Ya"),1,"")))</x:f>
      </x:c>
      <x:c r="Z7" s="1"/>
      <x:c r="AA7" s="15"/>
      <x:c r="AB7" s="15"/>
      <x:c r="AC7" s="15"/>
      <x:c r="AD7" s="15"/>
      <x:c r="AE7" s="15"/>
      <x:c r="AF7" s="15"/>
      <x:c r="AG7" s="22" t="str">
        <x:f>IF(OR(AE7="",AF7=""),"",IF(AE7="Positif",IF(AF7="Positif","TP","FN"),IF(AF7="Positif","FP","TN")))</x:f>
      </x:c>
    </x:row>
    <x:row r="8">
      <x:c r="A8" s="15"/>
      <x:c r="B8" s="15"/>
      <x:c r="C8" s="15"/>
      <x:c r="D8" s="34"/>
      <x:c r="E8" s="15"/>
      <x:c r="F8" s="15"/>
      <x:c r="G8" s="15"/>
      <x:c r="H8" s="15"/>
      <x:c r="I8" s="15"/>
      <x:c r="J8" s="15"/>
      <x:c r="K8" s="15"/>
      <x:c r="L8" s="15"/>
      <x:c r="M8" s="15"/>
      <x:c r="N8" s="36"/>
      <x:c r="O8" s="15"/>
      <x:c r="P8" s="38"/>
      <x:c r="Q8" s="38"/>
      <x:c r="R8" s="39" t="str">
        <x:f>IF(OR(P8="",Q8=""),"",P8-Q8)</x:f>
      </x:c>
      <x:c r="S8" s="15"/>
      <x:c r="T8" s="15"/>
      <x:c r="U8" s="15"/>
      <x:c r="V8" s="15"/>
      <x:c r="W8" s="15"/>
      <x:c r="X8" s="15"/>
      <x:c r="Y8" s="42" t="str">
        <x:f>IF(OR(X8="",X8="Pending"),"",IF(X8="Rejected",0,IF(AND(U8="Ya",V8="Ya",W8="Ya"),1,"")))</x:f>
      </x:c>
      <x:c r="Z8" s="1"/>
      <x:c r="AA8" s="15"/>
      <x:c r="AB8" s="15"/>
      <x:c r="AC8" s="15"/>
      <x:c r="AD8" s="15"/>
      <x:c r="AE8" s="15"/>
      <x:c r="AF8" s="15"/>
      <x:c r="AG8" s="22" t="str">
        <x:f>IF(OR(AE8="",AF8=""),"",IF(AE8="Positif",IF(AF8="Positif","TP","FN"),IF(AF8="Positif","FP","TN")))</x:f>
      </x:c>
    </x:row>
    <x:row r="9">
      <x:c r="A9" s="15"/>
      <x:c r="B9" s="15"/>
      <x:c r="C9" s="15"/>
      <x:c r="D9" s="34"/>
      <x:c r="E9" s="15"/>
      <x:c r="F9" s="15"/>
      <x:c r="G9" s="15"/>
      <x:c r="H9" s="15"/>
      <x:c r="I9" s="15"/>
      <x:c r="J9" s="15"/>
      <x:c r="K9" s="15"/>
      <x:c r="L9" s="15"/>
      <x:c r="M9" s="15"/>
      <x:c r="N9" s="36"/>
      <x:c r="O9" s="15"/>
      <x:c r="P9" s="38"/>
      <x:c r="Q9" s="38"/>
      <x:c r="R9" s="39" t="str">
        <x:f>IF(OR(P9="",Q9=""),"",P9-Q9)</x:f>
      </x:c>
      <x:c r="S9" s="15"/>
      <x:c r="T9" s="15"/>
      <x:c r="U9" s="15"/>
      <x:c r="V9" s="15"/>
      <x:c r="W9" s="15"/>
      <x:c r="X9" s="15"/>
      <x:c r="Y9" s="42" t="str">
        <x:f>IF(OR(X9="",X9="Pending"),"",IF(X9="Rejected",0,IF(AND(U9="Ya",V9="Ya",W9="Ya"),1,"")))</x:f>
      </x:c>
      <x:c r="Z9" s="1"/>
      <x:c r="AA9" s="15"/>
      <x:c r="AB9" s="15"/>
      <x:c r="AC9" s="15"/>
      <x:c r="AD9" s="15"/>
      <x:c r="AE9" s="15"/>
      <x:c r="AF9" s="15"/>
      <x:c r="AG9" s="22" t="str">
        <x:f>IF(OR(AE9="",AF9=""),"",IF(AE9="Positif",IF(AF9="Positif","TP","FN"),IF(AF9="Positif","FP","TN")))</x:f>
      </x:c>
    </x:row>
    <x:row r="10">
      <x:c r="A10" s="15"/>
      <x:c r="B10" s="15"/>
      <x:c r="C10" s="15"/>
      <x:c r="D10" s="34"/>
      <x:c r="E10" s="15"/>
      <x:c r="F10" s="15"/>
      <x:c r="G10" s="15"/>
      <x:c r="H10" s="15"/>
      <x:c r="I10" s="15"/>
      <x:c r="J10" s="15"/>
      <x:c r="K10" s="15"/>
      <x:c r="L10" s="15"/>
      <x:c r="M10" s="15"/>
      <x:c r="N10" s="36"/>
      <x:c r="O10" s="15"/>
      <x:c r="P10" s="38"/>
      <x:c r="Q10" s="38"/>
      <x:c r="R10" s="39" t="str">
        <x:f>IF(OR(P10="",Q10=""),"",P10-Q10)</x:f>
      </x:c>
      <x:c r="S10" s="15"/>
      <x:c r="T10" s="15"/>
      <x:c r="U10" s="15"/>
      <x:c r="V10" s="15"/>
      <x:c r="W10" s="15"/>
      <x:c r="X10" s="15"/>
      <x:c r="Y10" s="42" t="str">
        <x:f>IF(OR(X10="",X10="Pending"),"",IF(X10="Rejected",0,IF(AND(U10="Ya",V10="Ya",W10="Ya"),1,"")))</x:f>
      </x:c>
      <x:c r="Z10" s="1"/>
      <x:c r="AA10" s="15"/>
      <x:c r="AB10" s="15"/>
      <x:c r="AC10" s="15"/>
      <x:c r="AD10" s="15"/>
      <x:c r="AE10" s="15"/>
      <x:c r="AF10" s="15"/>
      <x:c r="AG10" s="22" t="str">
        <x:f>IF(OR(AE10="",AF10=""),"",IF(AE10="Positif",IF(AF10="Positif","TP","FN"),IF(AF10="Positif","FP","TN")))</x:f>
      </x:c>
    </x:row>
    <x:row r="11">
      <x:c r="A11" s="15"/>
      <x:c r="B11" s="15"/>
      <x:c r="C11" s="15"/>
      <x:c r="D11" s="34"/>
      <x:c r="E11" s="15"/>
      <x:c r="F11" s="15"/>
      <x:c r="G11" s="15"/>
      <x:c r="H11" s="15"/>
      <x:c r="I11" s="15"/>
      <x:c r="J11" s="15"/>
      <x:c r="K11" s="15"/>
      <x:c r="L11" s="15"/>
      <x:c r="M11" s="15"/>
      <x:c r="N11" s="36"/>
      <x:c r="O11" s="15"/>
      <x:c r="P11" s="38"/>
      <x:c r="Q11" s="38"/>
      <x:c r="R11" s="39" t="str">
        <x:f>IF(OR(P11="",Q11=""),"",P11-Q11)</x:f>
      </x:c>
      <x:c r="S11" s="15"/>
      <x:c r="T11" s="15"/>
      <x:c r="U11" s="15"/>
      <x:c r="V11" s="15"/>
      <x:c r="W11" s="15"/>
      <x:c r="X11" s="15"/>
      <x:c r="Y11" s="42" t="str">
        <x:f>IF(OR(X11="",X11="Pending"),"",IF(X11="Rejected",0,IF(AND(U11="Ya",V11="Ya",W11="Ya"),1,"")))</x:f>
      </x:c>
      <x:c r="Z11" s="1"/>
      <x:c r="AA11" s="15"/>
      <x:c r="AB11" s="15"/>
      <x:c r="AC11" s="15"/>
      <x:c r="AD11" s="15"/>
      <x:c r="AE11" s="15"/>
      <x:c r="AF11" s="15"/>
      <x:c r="AG11" s="22" t="str">
        <x:f>IF(OR(AE11="",AF11=""),"",IF(AE11="Positif",IF(AF11="Positif","TP","FN"),IF(AF11="Positif","FP","TN")))</x:f>
      </x:c>
    </x:row>
    <x:row r="12">
      <x:c r="A12" s="15"/>
      <x:c r="B12" s="15"/>
      <x:c r="C12" s="15"/>
      <x:c r="D12" s="34"/>
      <x:c r="E12" s="15"/>
      <x:c r="F12" s="15"/>
      <x:c r="G12" s="15"/>
      <x:c r="H12" s="15"/>
      <x:c r="I12" s="15"/>
      <x:c r="J12" s="15"/>
      <x:c r="K12" s="15"/>
      <x:c r="L12" s="15"/>
      <x:c r="M12" s="15"/>
      <x:c r="N12" s="36"/>
      <x:c r="O12" s="15"/>
      <x:c r="P12" s="38"/>
      <x:c r="Q12" s="38"/>
      <x:c r="R12" s="39" t="str">
        <x:f>IF(OR(P12="",Q12=""),"",P12-Q12)</x:f>
      </x:c>
      <x:c r="S12" s="15"/>
      <x:c r="T12" s="15"/>
      <x:c r="U12" s="15"/>
      <x:c r="V12" s="15"/>
      <x:c r="W12" s="15"/>
      <x:c r="X12" s="15"/>
      <x:c r="Y12" s="42" t="str">
        <x:f>IF(OR(X12="",X12="Pending"),"",IF(X12="Rejected",0,IF(AND(U12="Ya",V12="Ya",W12="Ya"),1,"")))</x:f>
      </x:c>
      <x:c r="Z12" s="1"/>
      <x:c r="AA12" s="15"/>
      <x:c r="AB12" s="15"/>
      <x:c r="AC12" s="15"/>
      <x:c r="AD12" s="15"/>
      <x:c r="AE12" s="15"/>
      <x:c r="AF12" s="15"/>
      <x:c r="AG12" s="22" t="str">
        <x:f>IF(OR(AE12="",AF12=""),"",IF(AE12="Positif",IF(AF12="Positif","TP","FN"),IF(AF12="Positif","FP","TN")))</x:f>
      </x:c>
    </x:row>
    <x:row r="13">
      <x:c r="A13" s="15"/>
      <x:c r="B13" s="15"/>
      <x:c r="C13" s="15"/>
      <x:c r="D13" s="34"/>
      <x:c r="E13" s="15"/>
      <x:c r="F13" s="15"/>
      <x:c r="G13" s="15"/>
      <x:c r="H13" s="15"/>
      <x:c r="I13" s="15"/>
      <x:c r="J13" s="15"/>
      <x:c r="K13" s="15"/>
      <x:c r="L13" s="15"/>
      <x:c r="M13" s="15"/>
      <x:c r="N13" s="36"/>
      <x:c r="O13" s="15"/>
      <x:c r="P13" s="38"/>
      <x:c r="Q13" s="38"/>
      <x:c r="R13" s="39" t="str">
        <x:f>IF(OR(P13="",Q13=""),"",P13-Q13)</x:f>
      </x:c>
      <x:c r="S13" s="15"/>
      <x:c r="T13" s="15"/>
      <x:c r="U13" s="15"/>
      <x:c r="V13" s="15"/>
      <x:c r="W13" s="15"/>
      <x:c r="X13" s="15"/>
      <x:c r="Y13" s="42" t="str">
        <x:f>IF(OR(X13="",X13="Pending"),"",IF(X13="Rejected",0,IF(AND(U13="Ya",V13="Ya",W13="Ya"),1,"")))</x:f>
      </x:c>
      <x:c r="Z13" s="1"/>
      <x:c r="AA13" s="15"/>
      <x:c r="AB13" s="15"/>
      <x:c r="AC13" s="15"/>
      <x:c r="AD13" s="15"/>
      <x:c r="AE13" s="15"/>
      <x:c r="AF13" s="15"/>
      <x:c r="AG13" s="22" t="str">
        <x:f>IF(OR(AE13="",AF13=""),"",IF(AE13="Positif",IF(AF13="Positif","TP","FN"),IF(AF13="Positif","FP","TN")))</x:f>
      </x:c>
    </x:row>
    <x:row r="14">
      <x:c r="A14" s="15"/>
      <x:c r="B14" s="15"/>
      <x:c r="C14" s="15"/>
      <x:c r="D14" s="34"/>
      <x:c r="E14" s="15"/>
      <x:c r="F14" s="15"/>
      <x:c r="G14" s="15"/>
      <x:c r="H14" s="15"/>
      <x:c r="I14" s="15"/>
      <x:c r="J14" s="15"/>
      <x:c r="K14" s="15"/>
      <x:c r="L14" s="15"/>
      <x:c r="M14" s="15"/>
      <x:c r="N14" s="36"/>
      <x:c r="O14" s="15"/>
      <x:c r="P14" s="38"/>
      <x:c r="Q14" s="38"/>
      <x:c r="R14" s="39" t="str">
        <x:f>IF(OR(P14="",Q14=""),"",P14-Q14)</x:f>
      </x:c>
      <x:c r="S14" s="15"/>
      <x:c r="T14" s="15"/>
      <x:c r="U14" s="15"/>
      <x:c r="V14" s="15"/>
      <x:c r="W14" s="15"/>
      <x:c r="X14" s="15"/>
      <x:c r="Y14" s="42" t="str">
        <x:f>IF(OR(X14="",X14="Pending"),"",IF(X14="Rejected",0,IF(AND(U14="Ya",V14="Ya",W14="Ya"),1,"")))</x:f>
      </x:c>
      <x:c r="Z14" s="1"/>
      <x:c r="AA14" s="15"/>
      <x:c r="AB14" s="15"/>
      <x:c r="AC14" s="15"/>
      <x:c r="AD14" s="15"/>
      <x:c r="AE14" s="15"/>
      <x:c r="AF14" s="15"/>
      <x:c r="AG14" s="22" t="str">
        <x:f>IF(OR(AE14="",AF14=""),"",IF(AE14="Positif",IF(AF14="Positif","TP","FN"),IF(AF14="Positif","FP","TN")))</x:f>
      </x:c>
    </x:row>
    <x:row r="15">
      <x:c r="A15" s="15"/>
      <x:c r="B15" s="15"/>
      <x:c r="C15" s="15"/>
      <x:c r="D15" s="34"/>
      <x:c r="E15" s="15"/>
      <x:c r="F15" s="15"/>
      <x:c r="G15" s="15"/>
      <x:c r="H15" s="15"/>
      <x:c r="I15" s="15"/>
      <x:c r="J15" s="15"/>
      <x:c r="K15" s="15"/>
      <x:c r="L15" s="15"/>
      <x:c r="M15" s="15"/>
      <x:c r="N15" s="36"/>
      <x:c r="O15" s="15"/>
      <x:c r="P15" s="38"/>
      <x:c r="Q15" s="38"/>
      <x:c r="R15" s="39" t="str">
        <x:f>IF(OR(P15="",Q15=""),"",P15-Q15)</x:f>
      </x:c>
      <x:c r="S15" s="15"/>
      <x:c r="T15" s="15"/>
      <x:c r="U15" s="15"/>
      <x:c r="V15" s="15"/>
      <x:c r="W15" s="15"/>
      <x:c r="X15" s="15"/>
      <x:c r="Y15" s="42" t="str">
        <x:f>IF(OR(X15="",X15="Pending"),"",IF(X15="Rejected",0,IF(AND(U15="Ya",V15="Ya",W15="Ya"),1,"")))</x:f>
      </x:c>
      <x:c r="Z15" s="1"/>
      <x:c r="AA15" s="15"/>
      <x:c r="AB15" s="15"/>
      <x:c r="AC15" s="15"/>
      <x:c r="AD15" s="15"/>
      <x:c r="AE15" s="15"/>
      <x:c r="AF15" s="15"/>
      <x:c r="AG15" s="22" t="str">
        <x:f>IF(OR(AE15="",AF15=""),"",IF(AE15="Positif",IF(AF15="Positif","TP","FN"),IF(AF15="Positif","FP","TN")))</x:f>
      </x:c>
    </x:row>
    <x:row r="16">
      <x:c r="A16" s="15"/>
      <x:c r="B16" s="15"/>
      <x:c r="C16" s="15"/>
      <x:c r="D16" s="34"/>
      <x:c r="E16" s="15"/>
      <x:c r="F16" s="15"/>
      <x:c r="G16" s="15"/>
      <x:c r="H16" s="15"/>
      <x:c r="I16" s="15"/>
      <x:c r="J16" s="15"/>
      <x:c r="K16" s="15"/>
      <x:c r="L16" s="15"/>
      <x:c r="M16" s="15"/>
      <x:c r="N16" s="36"/>
      <x:c r="O16" s="15"/>
      <x:c r="P16" s="38"/>
      <x:c r="Q16" s="38"/>
      <x:c r="R16" s="39" t="str">
        <x:f>IF(OR(P16="",Q16=""),"",P16-Q16)</x:f>
      </x:c>
      <x:c r="S16" s="15"/>
      <x:c r="T16" s="15"/>
      <x:c r="U16" s="15"/>
      <x:c r="V16" s="15"/>
      <x:c r="W16" s="15"/>
      <x:c r="X16" s="15"/>
      <x:c r="Y16" s="42" t="str">
        <x:f>IF(OR(X16="",X16="Pending"),"",IF(X16="Rejected",0,IF(AND(U16="Ya",V16="Ya",W16="Ya"),1,"")))</x:f>
      </x:c>
      <x:c r="Z16" s="1"/>
      <x:c r="AA16" s="15"/>
      <x:c r="AB16" s="15"/>
      <x:c r="AC16" s="15"/>
      <x:c r="AD16" s="15"/>
      <x:c r="AE16" s="15"/>
      <x:c r="AF16" s="15"/>
      <x:c r="AG16" s="22" t="str">
        <x:f>IF(OR(AE16="",AF16=""),"",IF(AE16="Positif",IF(AF16="Positif","TP","FN"),IF(AF16="Positif","FP","TN")))</x:f>
      </x:c>
    </x:row>
    <x:row r="17">
      <x:c r="A17" s="15"/>
      <x:c r="B17" s="15"/>
      <x:c r="C17" s="15"/>
      <x:c r="D17" s="34"/>
      <x:c r="E17" s="15"/>
      <x:c r="F17" s="15"/>
      <x:c r="G17" s="15"/>
      <x:c r="H17" s="15"/>
      <x:c r="I17" s="15"/>
      <x:c r="J17" s="15"/>
      <x:c r="K17" s="15"/>
      <x:c r="L17" s="15"/>
      <x:c r="M17" s="15"/>
      <x:c r="N17" s="36"/>
      <x:c r="O17" s="15"/>
      <x:c r="P17" s="38"/>
      <x:c r="Q17" s="38"/>
      <x:c r="R17" s="39" t="str">
        <x:f>IF(OR(P17="",Q17=""),"",P17-Q17)</x:f>
      </x:c>
      <x:c r="S17" s="15"/>
      <x:c r="T17" s="15"/>
      <x:c r="U17" s="15"/>
      <x:c r="V17" s="15"/>
      <x:c r="W17" s="15"/>
      <x:c r="X17" s="15"/>
      <x:c r="Y17" s="42" t="str">
        <x:f>IF(OR(X17="",X17="Pending"),"",IF(X17="Rejected",0,IF(AND(U17="Ya",V17="Ya",W17="Ya"),1,"")))</x:f>
      </x:c>
      <x:c r="Z17" s="1"/>
      <x:c r="AA17" s="15"/>
      <x:c r="AB17" s="15"/>
      <x:c r="AC17" s="15"/>
      <x:c r="AD17" s="15"/>
      <x:c r="AE17" s="15"/>
      <x:c r="AF17" s="15"/>
      <x:c r="AG17" s="22" t="str">
        <x:f>IF(OR(AE17="",AF17=""),"",IF(AE17="Positif",IF(AF17="Positif","TP","FN"),IF(AF17="Positif","FP","TN")))</x:f>
      </x:c>
    </x:row>
    <x:row r="18">
      <x:c r="A18" s="15"/>
      <x:c r="B18" s="15"/>
      <x:c r="C18" s="15"/>
      <x:c r="D18" s="34"/>
      <x:c r="E18" s="15"/>
      <x:c r="F18" s="15"/>
      <x:c r="G18" s="15"/>
      <x:c r="H18" s="15"/>
      <x:c r="I18" s="15"/>
      <x:c r="J18" s="15"/>
      <x:c r="K18" s="15"/>
      <x:c r="L18" s="15"/>
      <x:c r="M18" s="15"/>
      <x:c r="N18" s="36"/>
      <x:c r="O18" s="15"/>
      <x:c r="P18" s="38"/>
      <x:c r="Q18" s="38"/>
      <x:c r="R18" s="39" t="str">
        <x:f>IF(OR(P18="",Q18=""),"",P18-Q18)</x:f>
      </x:c>
      <x:c r="S18" s="15"/>
      <x:c r="T18" s="15"/>
      <x:c r="U18" s="15"/>
      <x:c r="V18" s="15"/>
      <x:c r="W18" s="15"/>
      <x:c r="X18" s="15"/>
      <x:c r="Y18" s="42" t="str">
        <x:f>IF(OR(X18="",X18="Pending"),"",IF(X18="Rejected",0,IF(AND(U18="Ya",V18="Ya",W18="Ya"),1,"")))</x:f>
      </x:c>
      <x:c r="Z18" s="1"/>
      <x:c r="AA18" s="15"/>
      <x:c r="AB18" s="15"/>
      <x:c r="AC18" s="15"/>
      <x:c r="AD18" s="15"/>
      <x:c r="AE18" s="15"/>
      <x:c r="AF18" s="15"/>
      <x:c r="AG18" s="22" t="str">
        <x:f>IF(OR(AE18="",AF18=""),"",IF(AE18="Positif",IF(AF18="Positif","TP","FN"),IF(AF18="Positif","FP","TN")))</x:f>
      </x:c>
    </x:row>
    <x:row r="19">
      <x:c r="A19" s="15"/>
      <x:c r="B19" s="15"/>
      <x:c r="C19" s="15"/>
      <x:c r="D19" s="34"/>
      <x:c r="E19" s="15"/>
      <x:c r="F19" s="15"/>
      <x:c r="G19" s="15"/>
      <x:c r="H19" s="15"/>
      <x:c r="I19" s="15"/>
      <x:c r="J19" s="15"/>
      <x:c r="K19" s="15"/>
      <x:c r="L19" s="15"/>
      <x:c r="M19" s="15"/>
      <x:c r="N19" s="36"/>
      <x:c r="O19" s="15"/>
      <x:c r="P19" s="38"/>
      <x:c r="Q19" s="38"/>
      <x:c r="R19" s="39" t="str">
        <x:f>IF(OR(P19="",Q19=""),"",P19-Q19)</x:f>
      </x:c>
      <x:c r="S19" s="15"/>
      <x:c r="T19" s="15"/>
      <x:c r="U19" s="15"/>
      <x:c r="V19" s="15"/>
      <x:c r="W19" s="15"/>
      <x:c r="X19" s="15"/>
      <x:c r="Y19" s="42" t="str">
        <x:f>IF(OR(X19="",X19="Pending"),"",IF(X19="Rejected",0,IF(AND(U19="Ya",V19="Ya",W19="Ya"),1,"")))</x:f>
      </x:c>
      <x:c r="Z19" s="1"/>
      <x:c r="AA19" s="15"/>
      <x:c r="AB19" s="15"/>
      <x:c r="AC19" s="15"/>
      <x:c r="AD19" s="15"/>
      <x:c r="AE19" s="15"/>
      <x:c r="AF19" s="15"/>
      <x:c r="AG19" s="22" t="str">
        <x:f>IF(OR(AE19="",AF19=""),"",IF(AE19="Positif",IF(AF19="Positif","TP","FN"),IF(AF19="Positif","FP","TN")))</x:f>
      </x:c>
    </x:row>
    <x:row r="20">
      <x:c r="A20" s="15"/>
      <x:c r="B20" s="15"/>
      <x:c r="C20" s="15"/>
      <x:c r="D20" s="34"/>
      <x:c r="E20" s="15"/>
      <x:c r="F20" s="15"/>
      <x:c r="G20" s="15"/>
      <x:c r="H20" s="15"/>
      <x:c r="I20" s="15"/>
      <x:c r="J20" s="15"/>
      <x:c r="K20" s="15"/>
      <x:c r="L20" s="15"/>
      <x:c r="M20" s="15"/>
      <x:c r="N20" s="36"/>
      <x:c r="O20" s="15"/>
      <x:c r="P20" s="38"/>
      <x:c r="Q20" s="38"/>
      <x:c r="R20" s="39" t="str">
        <x:f>IF(OR(P20="",Q20=""),"",P20-Q20)</x:f>
      </x:c>
      <x:c r="S20" s="15"/>
      <x:c r="T20" s="15"/>
      <x:c r="U20" s="15"/>
      <x:c r="V20" s="15"/>
      <x:c r="W20" s="15"/>
      <x:c r="X20" s="15"/>
      <x:c r="Y20" s="42" t="str">
        <x:f>IF(OR(X20="",X20="Pending"),"",IF(X20="Rejected",0,IF(AND(U20="Ya",V20="Ya",W20="Ya"),1,"")))</x:f>
      </x:c>
      <x:c r="Z20" s="1"/>
      <x:c r="AA20" s="15"/>
      <x:c r="AB20" s="15"/>
      <x:c r="AC20" s="15"/>
      <x:c r="AD20" s="15"/>
      <x:c r="AE20" s="15"/>
      <x:c r="AF20" s="15"/>
      <x:c r="AG20" s="22" t="str">
        <x:f>IF(OR(AE20="",AF20=""),"",IF(AE20="Positif",IF(AF20="Positif","TP","FN"),IF(AF20="Positif","FP","TN")))</x:f>
      </x:c>
    </x:row>
    <x:row r="21">
      <x:c r="A21" s="15"/>
      <x:c r="B21" s="15"/>
      <x:c r="C21" s="15"/>
      <x:c r="D21" s="34"/>
      <x:c r="E21" s="15"/>
      <x:c r="F21" s="15"/>
      <x:c r="G21" s="15"/>
      <x:c r="H21" s="15"/>
      <x:c r="I21" s="15"/>
      <x:c r="J21" s="15"/>
      <x:c r="K21" s="15"/>
      <x:c r="L21" s="15"/>
      <x:c r="M21" s="15"/>
      <x:c r="N21" s="36"/>
      <x:c r="O21" s="15"/>
      <x:c r="P21" s="38"/>
      <x:c r="Q21" s="38"/>
      <x:c r="R21" s="39" t="str">
        <x:f>IF(OR(P21="",Q21=""),"",P21-Q21)</x:f>
      </x:c>
      <x:c r="S21" s="15"/>
      <x:c r="T21" s="15"/>
      <x:c r="U21" s="15"/>
      <x:c r="V21" s="15"/>
      <x:c r="W21" s="15"/>
      <x:c r="X21" s="15"/>
      <x:c r="Y21" s="42" t="str">
        <x:f>IF(OR(X21="",X21="Pending"),"",IF(X21="Rejected",0,IF(AND(U21="Ya",V21="Ya",W21="Ya"),1,"")))</x:f>
      </x:c>
      <x:c r="Z21" s="1"/>
      <x:c r="AA21" s="15"/>
      <x:c r="AB21" s="15"/>
      <x:c r="AC21" s="15"/>
      <x:c r="AD21" s="15"/>
      <x:c r="AE21" s="15"/>
      <x:c r="AF21" s="15"/>
      <x:c r="AG21" s="22" t="str">
        <x:f>IF(OR(AE21="",AF21=""),"",IF(AE21="Positif",IF(AF21="Positif","TP","FN"),IF(AF21="Positif","FP","TN")))</x:f>
      </x:c>
    </x:row>
    <x:row r="22">
      <x:c r="A22" s="15"/>
      <x:c r="B22" s="15"/>
      <x:c r="C22" s="15"/>
      <x:c r="D22" s="34"/>
      <x:c r="E22" s="15"/>
      <x:c r="F22" s="15"/>
      <x:c r="G22" s="15"/>
      <x:c r="H22" s="15"/>
      <x:c r="I22" s="15"/>
      <x:c r="J22" s="15"/>
      <x:c r="K22" s="15"/>
      <x:c r="L22" s="15"/>
      <x:c r="M22" s="15"/>
      <x:c r="N22" s="36"/>
      <x:c r="O22" s="15"/>
      <x:c r="P22" s="38"/>
      <x:c r="Q22" s="38"/>
      <x:c r="R22" s="39" t="str">
        <x:f>IF(OR(P22="",Q22=""),"",P22-Q22)</x:f>
      </x:c>
      <x:c r="S22" s="15"/>
      <x:c r="T22" s="15"/>
      <x:c r="U22" s="15"/>
      <x:c r="V22" s="15"/>
      <x:c r="W22" s="15"/>
      <x:c r="X22" s="15"/>
      <x:c r="Y22" s="42" t="str">
        <x:f>IF(OR(X22="",X22="Pending"),"",IF(X22="Rejected",0,IF(AND(U22="Ya",V22="Ya",W22="Ya"),1,"")))</x:f>
      </x:c>
      <x:c r="Z22" s="1"/>
      <x:c r="AA22" s="15"/>
      <x:c r="AB22" s="15"/>
      <x:c r="AC22" s="15"/>
      <x:c r="AD22" s="15"/>
      <x:c r="AE22" s="15"/>
      <x:c r="AF22" s="15"/>
      <x:c r="AG22" s="22" t="str">
        <x:f>IF(OR(AE22="",AF22=""),"",IF(AE22="Positif",IF(AF22="Positif","TP","FN"),IF(AF22="Positif","FP","TN")))</x:f>
      </x:c>
    </x:row>
    <x:row r="23">
      <x:c r="A23" s="15"/>
      <x:c r="B23" s="15"/>
      <x:c r="C23" s="15"/>
      <x:c r="D23" s="34"/>
      <x:c r="E23" s="15"/>
      <x:c r="F23" s="15"/>
      <x:c r="G23" s="15"/>
      <x:c r="H23" s="15"/>
      <x:c r="I23" s="15"/>
      <x:c r="J23" s="15"/>
      <x:c r="K23" s="15"/>
      <x:c r="L23" s="15"/>
      <x:c r="M23" s="15"/>
      <x:c r="N23" s="36"/>
      <x:c r="O23" s="15"/>
      <x:c r="P23" s="38"/>
      <x:c r="Q23" s="38"/>
      <x:c r="R23" s="39" t="str">
        <x:f>IF(OR(P23="",Q23=""),"",P23-Q23)</x:f>
      </x:c>
      <x:c r="S23" s="15"/>
      <x:c r="T23" s="15"/>
      <x:c r="U23" s="15"/>
      <x:c r="V23" s="15"/>
      <x:c r="W23" s="15"/>
      <x:c r="X23" s="15"/>
      <x:c r="Y23" s="42" t="str">
        <x:f>IF(OR(X23="",X23="Pending"),"",IF(X23="Rejected",0,IF(AND(U23="Ya",V23="Ya",W23="Ya"),1,"")))</x:f>
      </x:c>
      <x:c r="Z23" s="1"/>
      <x:c r="AA23" s="15"/>
      <x:c r="AB23" s="15"/>
      <x:c r="AC23" s="15"/>
      <x:c r="AD23" s="15"/>
      <x:c r="AE23" s="15"/>
      <x:c r="AF23" s="15"/>
      <x:c r="AG23" s="22" t="str">
        <x:f>IF(OR(AE23="",AF23=""),"",IF(AE23="Positif",IF(AF23="Positif","TP","FN"),IF(AF23="Positif","FP","TN")))</x:f>
      </x:c>
    </x:row>
    <x:row r="24">
      <x:c r="A24" s="15"/>
      <x:c r="B24" s="15"/>
      <x:c r="C24" s="15"/>
      <x:c r="D24" s="34"/>
      <x:c r="E24" s="15"/>
      <x:c r="F24" s="15"/>
      <x:c r="G24" s="15"/>
      <x:c r="H24" s="15"/>
      <x:c r="I24" s="15"/>
      <x:c r="J24" s="15"/>
      <x:c r="K24" s="15"/>
      <x:c r="L24" s="15"/>
      <x:c r="M24" s="15"/>
      <x:c r="N24" s="36"/>
      <x:c r="O24" s="15"/>
      <x:c r="P24" s="38"/>
      <x:c r="Q24" s="38"/>
      <x:c r="R24" s="39" t="str">
        <x:f>IF(OR(P24="",Q24=""),"",P24-Q24)</x:f>
      </x:c>
      <x:c r="S24" s="15"/>
      <x:c r="T24" s="15"/>
      <x:c r="U24" s="15"/>
      <x:c r="V24" s="15"/>
      <x:c r="W24" s="15"/>
      <x:c r="X24" s="15"/>
      <x:c r="Y24" s="42" t="str">
        <x:f>IF(OR(X24="",X24="Pending"),"",IF(X24="Rejected",0,IF(AND(U24="Ya",V24="Ya",W24="Ya"),1,"")))</x:f>
      </x:c>
      <x:c r="Z24" s="1"/>
      <x:c r="AA24" s="15"/>
      <x:c r="AB24" s="15"/>
      <x:c r="AC24" s="15"/>
      <x:c r="AD24" s="15"/>
      <x:c r="AE24" s="15"/>
      <x:c r="AF24" s="15"/>
      <x:c r="AG24" s="22" t="str">
        <x:f>IF(OR(AE24="",AF24=""),"",IF(AE24="Positif",IF(AF24="Positif","TP","FN"),IF(AF24="Positif","FP","TN")))</x:f>
      </x:c>
    </x:row>
    <x:row r="25">
      <x:c r="A25" s="15"/>
      <x:c r="B25" s="15"/>
      <x:c r="C25" s="15"/>
      <x:c r="D25" s="34"/>
      <x:c r="E25" s="15"/>
      <x:c r="F25" s="15"/>
      <x:c r="G25" s="15"/>
      <x:c r="H25" s="15"/>
      <x:c r="I25" s="15"/>
      <x:c r="J25" s="15"/>
      <x:c r="K25" s="15"/>
      <x:c r="L25" s="15"/>
      <x:c r="M25" s="15"/>
      <x:c r="N25" s="36"/>
      <x:c r="O25" s="15"/>
      <x:c r="P25" s="38"/>
      <x:c r="Q25" s="38"/>
      <x:c r="R25" s="39" t="str">
        <x:f>IF(OR(P25="",Q25=""),"",P25-Q25)</x:f>
      </x:c>
      <x:c r="S25" s="15"/>
      <x:c r="T25" s="15"/>
      <x:c r="U25" s="15"/>
      <x:c r="V25" s="15"/>
      <x:c r="W25" s="15"/>
      <x:c r="X25" s="15"/>
      <x:c r="Y25" s="42" t="str">
        <x:f>IF(OR(X25="",X25="Pending"),"",IF(X25="Rejected",0,IF(AND(U25="Ya",V25="Ya",W25="Ya"),1,"")))</x:f>
      </x:c>
      <x:c r="Z25" s="1"/>
      <x:c r="AA25" s="15"/>
      <x:c r="AB25" s="15"/>
      <x:c r="AC25" s="15"/>
      <x:c r="AD25" s="15"/>
      <x:c r="AE25" s="15"/>
      <x:c r="AF25" s="15"/>
      <x:c r="AG25" s="22" t="str">
        <x:f>IF(OR(AE25="",AF25=""),"",IF(AE25="Positif",IF(AF25="Positif","TP","FN"),IF(AF25="Positif","FP","TN")))</x:f>
      </x:c>
    </x:row>
    <x:row r="26">
      <x:c r="A26" s="15"/>
      <x:c r="B26" s="15"/>
      <x:c r="C26" s="15"/>
      <x:c r="D26" s="34"/>
      <x:c r="E26" s="15"/>
      <x:c r="F26" s="15"/>
      <x:c r="G26" s="15"/>
      <x:c r="H26" s="15"/>
      <x:c r="I26" s="15"/>
      <x:c r="J26" s="15"/>
      <x:c r="K26" s="15"/>
      <x:c r="L26" s="15"/>
      <x:c r="M26" s="15"/>
      <x:c r="N26" s="36"/>
      <x:c r="O26" s="15"/>
      <x:c r="P26" s="38"/>
      <x:c r="Q26" s="38"/>
      <x:c r="R26" s="39" t="str">
        <x:f>IF(OR(P26="",Q26=""),"",P26-Q26)</x:f>
      </x:c>
      <x:c r="S26" s="15"/>
      <x:c r="T26" s="15"/>
      <x:c r="U26" s="15"/>
      <x:c r="V26" s="15"/>
      <x:c r="W26" s="15"/>
      <x:c r="X26" s="15"/>
      <x:c r="Y26" s="42" t="str">
        <x:f>IF(OR(X26="",X26="Pending"),"",IF(X26="Rejected",0,IF(AND(U26="Ya",V26="Ya",W26="Ya"),1,"")))</x:f>
      </x:c>
      <x:c r="Z26" s="1"/>
      <x:c r="AA26" s="15"/>
      <x:c r="AB26" s="15"/>
      <x:c r="AC26" s="15"/>
      <x:c r="AD26" s="15"/>
      <x:c r="AE26" s="15"/>
      <x:c r="AF26" s="15"/>
      <x:c r="AG26" s="22" t="str">
        <x:f>IF(OR(AE26="",AF26=""),"",IF(AE26="Positif",IF(AF26="Positif","TP","FN"),IF(AF26="Positif","FP","TN")))</x:f>
      </x:c>
    </x:row>
    <x:row r="27">
      <x:c r="A27" s="15"/>
      <x:c r="B27" s="15"/>
      <x:c r="C27" s="15"/>
      <x:c r="D27" s="34"/>
      <x:c r="E27" s="15"/>
      <x:c r="F27" s="15"/>
      <x:c r="G27" s="15"/>
      <x:c r="H27" s="15"/>
      <x:c r="I27" s="15"/>
      <x:c r="J27" s="15"/>
      <x:c r="K27" s="15"/>
      <x:c r="L27" s="15"/>
      <x:c r="M27" s="15"/>
      <x:c r="N27" s="36"/>
      <x:c r="O27" s="15"/>
      <x:c r="P27" s="38"/>
      <x:c r="Q27" s="38"/>
      <x:c r="R27" s="39" t="str">
        <x:f>IF(OR(P27="",Q27=""),"",P27-Q27)</x:f>
      </x:c>
      <x:c r="S27" s="15"/>
      <x:c r="T27" s="15"/>
      <x:c r="U27" s="15"/>
      <x:c r="V27" s="15"/>
      <x:c r="W27" s="15"/>
      <x:c r="X27" s="15"/>
      <x:c r="Y27" s="42" t="str">
        <x:f>IF(OR(X27="",X27="Pending"),"",IF(X27="Rejected",0,IF(AND(U27="Ya",V27="Ya",W27="Ya"),1,"")))</x:f>
      </x:c>
      <x:c r="Z27" s="1"/>
      <x:c r="AA27" s="15"/>
      <x:c r="AB27" s="15"/>
      <x:c r="AC27" s="15"/>
      <x:c r="AD27" s="15"/>
      <x:c r="AE27" s="15"/>
      <x:c r="AF27" s="15"/>
      <x:c r="AG27" s="22" t="str">
        <x:f>IF(OR(AE27="",AF27=""),"",IF(AE27="Positif",IF(AF27="Positif","TP","FN"),IF(AF27="Positif","FP","TN")))</x:f>
      </x:c>
    </x:row>
    <x:row r="28">
      <x:c r="A28" s="15"/>
      <x:c r="B28" s="15"/>
      <x:c r="C28" s="15"/>
      <x:c r="D28" s="34"/>
      <x:c r="E28" s="15"/>
      <x:c r="F28" s="15"/>
      <x:c r="G28" s="15"/>
      <x:c r="H28" s="15"/>
      <x:c r="I28" s="15"/>
      <x:c r="J28" s="15"/>
      <x:c r="K28" s="15"/>
      <x:c r="L28" s="15"/>
      <x:c r="M28" s="15"/>
      <x:c r="N28" s="36"/>
      <x:c r="O28" s="15"/>
      <x:c r="P28" s="38"/>
      <x:c r="Q28" s="38"/>
      <x:c r="R28" s="39" t="str">
        <x:f>IF(OR(P28="",Q28=""),"",P28-Q28)</x:f>
      </x:c>
      <x:c r="S28" s="15"/>
      <x:c r="T28" s="15"/>
      <x:c r="U28" s="15"/>
      <x:c r="V28" s="15"/>
      <x:c r="W28" s="15"/>
      <x:c r="X28" s="15"/>
      <x:c r="Y28" s="42" t="str">
        <x:f>IF(OR(X28="",X28="Pending"),"",IF(X28="Rejected",0,IF(AND(U28="Ya",V28="Ya",W28="Ya"),1,"")))</x:f>
      </x:c>
      <x:c r="Z28" s="1"/>
      <x:c r="AA28" s="15"/>
      <x:c r="AB28" s="15"/>
      <x:c r="AC28" s="15"/>
      <x:c r="AD28" s="15"/>
      <x:c r="AE28" s="15"/>
      <x:c r="AF28" s="15"/>
      <x:c r="AG28" s="22" t="str">
        <x:f>IF(OR(AE28="",AF28=""),"",IF(AE28="Positif",IF(AF28="Positif","TP","FN"),IF(AF28="Positif","FP","TN")))</x:f>
      </x:c>
    </x:row>
    <x:row r="29">
      <x:c r="A29" s="15"/>
      <x:c r="B29" s="15"/>
      <x:c r="C29" s="15"/>
      <x:c r="D29" s="34"/>
      <x:c r="E29" s="15"/>
      <x:c r="F29" s="15"/>
      <x:c r="G29" s="15"/>
      <x:c r="H29" s="15"/>
      <x:c r="I29" s="15"/>
      <x:c r="J29" s="15"/>
      <x:c r="K29" s="15"/>
      <x:c r="L29" s="15"/>
      <x:c r="M29" s="15"/>
      <x:c r="N29" s="36"/>
      <x:c r="O29" s="15"/>
      <x:c r="P29" s="38"/>
      <x:c r="Q29" s="38"/>
      <x:c r="R29" s="39" t="str">
        <x:f>IF(OR(P29="",Q29=""),"",P29-Q29)</x:f>
      </x:c>
      <x:c r="S29" s="15"/>
      <x:c r="T29" s="15"/>
      <x:c r="U29" s="15"/>
      <x:c r="V29" s="15"/>
      <x:c r="W29" s="15"/>
      <x:c r="X29" s="15"/>
      <x:c r="Y29" s="42" t="str">
        <x:f>IF(OR(X29="",X29="Pending"),"",IF(X29="Rejected",0,IF(AND(U29="Ya",V29="Ya",W29="Ya"),1,"")))</x:f>
      </x:c>
      <x:c r="Z29" s="1"/>
      <x:c r="AA29" s="15"/>
      <x:c r="AB29" s="15"/>
      <x:c r="AC29" s="15"/>
      <x:c r="AD29" s="15"/>
      <x:c r="AE29" s="15"/>
      <x:c r="AF29" s="15"/>
      <x:c r="AG29" s="22" t="str">
        <x:f>IF(OR(AE29="",AF29=""),"",IF(AE29="Positif",IF(AF29="Positif","TP","FN"),IF(AF29="Positif","FP","TN")))</x:f>
      </x:c>
    </x:row>
    <x:row r="30">
      <x:c r="A30" s="15"/>
      <x:c r="B30" s="15"/>
      <x:c r="C30" s="15"/>
      <x:c r="D30" s="34"/>
      <x:c r="E30" s="15"/>
      <x:c r="F30" s="15"/>
      <x:c r="G30" s="15"/>
      <x:c r="H30" s="15"/>
      <x:c r="I30" s="15"/>
      <x:c r="J30" s="15"/>
      <x:c r="K30" s="15"/>
      <x:c r="L30" s="15"/>
      <x:c r="M30" s="15"/>
      <x:c r="N30" s="36"/>
      <x:c r="O30" s="15"/>
      <x:c r="P30" s="38"/>
      <x:c r="Q30" s="38"/>
      <x:c r="R30" s="39" t="str">
        <x:f>IF(OR(P30="",Q30=""),"",P30-Q30)</x:f>
      </x:c>
      <x:c r="S30" s="15"/>
      <x:c r="T30" s="15"/>
      <x:c r="U30" s="15"/>
      <x:c r="V30" s="15"/>
      <x:c r="W30" s="15"/>
      <x:c r="X30" s="15"/>
      <x:c r="Y30" s="42" t="str">
        <x:f>IF(OR(X30="",X30="Pending"),"",IF(X30="Rejected",0,IF(AND(U30="Ya",V30="Ya",W30="Ya"),1,"")))</x:f>
      </x:c>
      <x:c r="Z30" s="1"/>
      <x:c r="AA30" s="15"/>
      <x:c r="AB30" s="15"/>
      <x:c r="AC30" s="15"/>
      <x:c r="AD30" s="15"/>
      <x:c r="AE30" s="15"/>
      <x:c r="AF30" s="15"/>
      <x:c r="AG30" s="22" t="str">
        <x:f>IF(OR(AE30="",AF30=""),"",IF(AE30="Positif",IF(AF30="Positif","TP","FN"),IF(AF30="Positif","FP","TN")))</x:f>
      </x:c>
    </x:row>
    <x:row r="31">
      <x:c r="A31" s="32"/>
      <x:c r="B31" s="32"/>
      <x:c r="C31" s="32"/>
      <x:c r="D31" s="35"/>
      <x:c r="E31" s="32"/>
      <x:c r="F31" s="32"/>
      <x:c r="G31" s="32"/>
      <x:c r="H31" s="32"/>
      <x:c r="I31" s="32"/>
      <x:c r="J31" s="32"/>
      <x:c r="K31" s="32"/>
      <x:c r="L31" s="32"/>
      <x:c r="M31" s="32"/>
      <x:c r="N31" s="37"/>
      <x:c r="O31" s="32"/>
      <x:c r="P31" s="40"/>
      <x:c r="Q31" s="40"/>
      <x:c r="R31" s="41" t="str">
        <x:f>IF(OR(P31="",Q31=""),"",P31-Q31)</x:f>
      </x:c>
      <x:c r="S31" s="32"/>
      <x:c r="T31" s="32"/>
      <x:c r="U31" s="32"/>
      <x:c r="V31" s="32"/>
      <x:c r="W31" s="32"/>
      <x:c r="X31" s="32"/>
      <x:c r="Y31" s="43" t="str">
        <x:f>IF(OR(X31="",X31="Pending"),"",IF(X31="Rejected",0,IF(AND(U31="Ya",V31="Ya",W31="Ya"),1,"")))</x:f>
      </x:c>
      <x:c r="AA31" s="32"/>
      <x:c r="AB31" s="32"/>
      <x:c r="AC31" s="32"/>
      <x:c r="AD31" s="32"/>
      <x:c r="AE31" s="32"/>
      <x:c r="AF31" s="32"/>
      <x:c r="AG31" s="33" t="str">
        <x:f>IF(OR(AE31="",AF31=""),"",IF(AE31="Positif",IF(AF31="Positif","TP","FN"),IF(AF31="Positif","FP","TN")))</x:f>
      </x:c>
    </x:row>
    <x:row r="32">
      <x:c r="A32" s="32"/>
      <x:c r="B32" s="32"/>
      <x:c r="C32" s="32"/>
      <x:c r="D32" s="35"/>
      <x:c r="E32" s="32"/>
      <x:c r="F32" s="32"/>
      <x:c r="G32" s="32"/>
      <x:c r="H32" s="32"/>
      <x:c r="I32" s="32"/>
      <x:c r="J32" s="32"/>
      <x:c r="K32" s="32"/>
      <x:c r="L32" s="32"/>
      <x:c r="M32" s="32"/>
      <x:c r="N32" s="37"/>
      <x:c r="O32" s="32"/>
      <x:c r="P32" s="40"/>
      <x:c r="Q32" s="40"/>
      <x:c r="R32" s="41" t="str">
        <x:f>IF(OR(P32="",Q32=""),"",P32-Q32)</x:f>
      </x:c>
      <x:c r="S32" s="32"/>
      <x:c r="T32" s="32"/>
      <x:c r="U32" s="32"/>
      <x:c r="V32" s="32"/>
      <x:c r="W32" s="32"/>
      <x:c r="X32" s="32"/>
      <x:c r="Y32" s="43" t="str">
        <x:f>IF(OR(X32="",X32="Pending"),"",IF(X32="Rejected",0,IF(AND(U32="Ya",V32="Ya",W32="Ya"),1,"")))</x:f>
      </x:c>
      <x:c r="AA32" s="32"/>
      <x:c r="AB32" s="32"/>
      <x:c r="AC32" s="32"/>
      <x:c r="AD32" s="32"/>
      <x:c r="AE32" s="32"/>
      <x:c r="AF32" s="32"/>
      <x:c r="AG32" s="33" t="str">
        <x:f>IF(OR(AE32="",AF32=""),"",IF(AE32="Positif",IF(AF32="Positif","TP","FN"),IF(AF32="Positif","FP","TN")))</x:f>
      </x:c>
    </x:row>
    <x:row r="33">
      <x:c r="A33" s="32"/>
      <x:c r="B33" s="32"/>
      <x:c r="C33" s="32"/>
      <x:c r="D33" s="35"/>
      <x:c r="E33" s="32"/>
      <x:c r="F33" s="32"/>
      <x:c r="G33" s="32"/>
      <x:c r="H33" s="32"/>
      <x:c r="I33" s="32"/>
      <x:c r="J33" s="32"/>
      <x:c r="K33" s="32"/>
      <x:c r="L33" s="32"/>
      <x:c r="M33" s="32"/>
      <x:c r="N33" s="37"/>
      <x:c r="O33" s="32"/>
      <x:c r="P33" s="40"/>
      <x:c r="Q33" s="40"/>
      <x:c r="R33" s="41" t="str">
        <x:f>IF(OR(P33="",Q33=""),"",P33-Q33)</x:f>
      </x:c>
      <x:c r="S33" s="32"/>
      <x:c r="T33" s="32"/>
      <x:c r="U33" s="32"/>
      <x:c r="V33" s="32"/>
      <x:c r="W33" s="32"/>
      <x:c r="X33" s="32"/>
      <x:c r="Y33" s="43" t="str">
        <x:f>IF(OR(X33="",X33="Pending"),"",IF(X33="Rejected",0,IF(AND(U33="Ya",V33="Ya",W33="Ya"),1,"")))</x:f>
      </x:c>
      <x:c r="AA33" s="32"/>
      <x:c r="AB33" s="32"/>
      <x:c r="AC33" s="32"/>
      <x:c r="AD33" s="32"/>
      <x:c r="AE33" s="32"/>
      <x:c r="AF33" s="32"/>
      <x:c r="AG33" s="33" t="str">
        <x:f>IF(OR(AE33="",AF33=""),"",IF(AE33="Positif",IF(AF33="Positif","TP","FN"),IF(AF33="Positif","FP","TN")))</x:f>
      </x:c>
    </x:row>
    <x:row r="34">
      <x:c r="A34" s="32"/>
      <x:c r="B34" s="32"/>
      <x:c r="C34" s="32"/>
      <x:c r="D34" s="35"/>
      <x:c r="E34" s="32"/>
      <x:c r="F34" s="32"/>
      <x:c r="G34" s="32"/>
      <x:c r="H34" s="32"/>
      <x:c r="I34" s="32"/>
      <x:c r="J34" s="32"/>
      <x:c r="K34" s="32"/>
      <x:c r="L34" s="32"/>
      <x:c r="M34" s="32"/>
      <x:c r="N34" s="37"/>
      <x:c r="O34" s="32"/>
      <x:c r="P34" s="40"/>
      <x:c r="Q34" s="40"/>
      <x:c r="R34" s="41" t="str">
        <x:f>IF(OR(P34="",Q34=""),"",P34-Q34)</x:f>
      </x:c>
      <x:c r="S34" s="32"/>
      <x:c r="T34" s="32"/>
      <x:c r="U34" s="32"/>
      <x:c r="V34" s="32"/>
      <x:c r="W34" s="32"/>
      <x:c r="X34" s="32"/>
      <x:c r="Y34" s="43" t="str">
        <x:f>IF(OR(X34="",X34="Pending"),"",IF(X34="Rejected",0,IF(AND(U34="Ya",V34="Ya",W34="Ya"),1,"")))</x:f>
      </x:c>
      <x:c r="AA34" s="32"/>
      <x:c r="AB34" s="32"/>
      <x:c r="AC34" s="32"/>
      <x:c r="AD34" s="32"/>
      <x:c r="AE34" s="32"/>
      <x:c r="AF34" s="32"/>
      <x:c r="AG34" s="33" t="str">
        <x:f>IF(OR(AE34="",AF34=""),"",IF(AE34="Positif",IF(AF34="Positif","TP","FN"),IF(AF34="Positif","FP","TN")))</x:f>
      </x:c>
    </x:row>
    <x:row r="35">
      <x:c r="A35" s="32"/>
      <x:c r="B35" s="32"/>
      <x:c r="C35" s="32"/>
      <x:c r="D35" s="35"/>
      <x:c r="E35" s="32"/>
      <x:c r="F35" s="32"/>
      <x:c r="G35" s="32"/>
      <x:c r="H35" s="32"/>
      <x:c r="I35" s="32"/>
      <x:c r="J35" s="32"/>
      <x:c r="K35" s="32"/>
      <x:c r="L35" s="32"/>
      <x:c r="M35" s="32"/>
      <x:c r="N35" s="37"/>
      <x:c r="O35" s="32"/>
      <x:c r="P35" s="40"/>
      <x:c r="Q35" s="40"/>
      <x:c r="R35" s="41" t="str">
        <x:f>IF(OR(P35="",Q35=""),"",P35-Q35)</x:f>
      </x:c>
      <x:c r="S35" s="32"/>
      <x:c r="T35" s="32"/>
      <x:c r="U35" s="32"/>
      <x:c r="V35" s="32"/>
      <x:c r="W35" s="32"/>
      <x:c r="X35" s="32"/>
      <x:c r="Y35" s="43" t="str">
        <x:f>IF(OR(X35="",X35="Pending"),"",IF(X35="Rejected",0,IF(AND(U35="Ya",V35="Ya",W35="Ya"),1,"")))</x:f>
      </x:c>
      <x:c r="AA35" s="32"/>
      <x:c r="AB35" s="32"/>
      <x:c r="AC35" s="32"/>
      <x:c r="AD35" s="32"/>
      <x:c r="AE35" s="32"/>
      <x:c r="AF35" s="32"/>
      <x:c r="AG35" s="33" t="str">
        <x:f>IF(OR(AE35="",AF35=""),"",IF(AE35="Positif",IF(AF35="Positif","TP","FN"),IF(AF35="Positif","FP","TN")))</x:f>
      </x:c>
    </x:row>
    <x:row r="36">
      <x:c r="A36" s="32"/>
      <x:c r="B36" s="32"/>
      <x:c r="C36" s="32"/>
      <x:c r="D36" s="35"/>
      <x:c r="E36" s="32"/>
      <x:c r="F36" s="32"/>
      <x:c r="G36" s="32"/>
      <x:c r="H36" s="32"/>
      <x:c r="I36" s="32"/>
      <x:c r="J36" s="32"/>
      <x:c r="K36" s="32"/>
      <x:c r="L36" s="32"/>
      <x:c r="M36" s="32"/>
      <x:c r="N36" s="37"/>
      <x:c r="O36" s="32"/>
      <x:c r="P36" s="40"/>
      <x:c r="Q36" s="40"/>
      <x:c r="R36" s="41" t="str">
        <x:f>IF(OR(P36="",Q36=""),"",P36-Q36)</x:f>
      </x:c>
      <x:c r="S36" s="32"/>
      <x:c r="T36" s="32"/>
      <x:c r="U36" s="32"/>
      <x:c r="V36" s="32"/>
      <x:c r="W36" s="32"/>
      <x:c r="X36" s="32"/>
      <x:c r="Y36" s="43" t="str">
        <x:f>IF(OR(X36="",X36="Pending"),"",IF(X36="Rejected",0,IF(AND(U36="Ya",V36="Ya",W36="Ya"),1,"")))</x:f>
      </x:c>
      <x:c r="AA36" s="32"/>
      <x:c r="AB36" s="32"/>
      <x:c r="AC36" s="32"/>
      <x:c r="AD36" s="32"/>
      <x:c r="AE36" s="32"/>
      <x:c r="AF36" s="32"/>
      <x:c r="AG36" s="33" t="str">
        <x:f>IF(OR(AE36="",AF36=""),"",IF(AE36="Positif",IF(AF36="Positif","TP","FN"),IF(AF36="Positif","FP","TN")))</x:f>
      </x:c>
    </x:row>
    <x:row r="37">
      <x:c r="A37" s="32"/>
      <x:c r="B37" s="32"/>
      <x:c r="C37" s="32"/>
      <x:c r="D37" s="35"/>
      <x:c r="E37" s="32"/>
      <x:c r="F37" s="32"/>
      <x:c r="G37" s="32"/>
      <x:c r="H37" s="32"/>
      <x:c r="I37" s="32"/>
      <x:c r="J37" s="32"/>
      <x:c r="K37" s="32"/>
      <x:c r="L37" s="32"/>
      <x:c r="M37" s="32"/>
      <x:c r="N37" s="37"/>
      <x:c r="O37" s="32"/>
      <x:c r="P37" s="40"/>
      <x:c r="Q37" s="40"/>
      <x:c r="R37" s="41" t="str">
        <x:f>IF(OR(P37="",Q37=""),"",P37-Q37)</x:f>
      </x:c>
      <x:c r="S37" s="32"/>
      <x:c r="T37" s="32"/>
      <x:c r="U37" s="32"/>
      <x:c r="V37" s="32"/>
      <x:c r="W37" s="32"/>
      <x:c r="X37" s="32"/>
      <x:c r="Y37" s="43" t="str">
        <x:f>IF(OR(X37="",X37="Pending"),"",IF(X37="Rejected",0,IF(AND(U37="Ya",V37="Ya",W37="Ya"),1,"")))</x:f>
      </x:c>
      <x:c r="AA37" s="32"/>
      <x:c r="AB37" s="32"/>
      <x:c r="AC37" s="32"/>
      <x:c r="AD37" s="32"/>
      <x:c r="AE37" s="32"/>
      <x:c r="AF37" s="32"/>
      <x:c r="AG37" s="33" t="str">
        <x:f>IF(OR(AE37="",AF37=""),"",IF(AE37="Positif",IF(AF37="Positif","TP","FN"),IF(AF37="Positif","FP","TN")))</x:f>
      </x:c>
    </x:row>
    <x:row r="38">
      <x:c r="A38" s="32"/>
      <x:c r="B38" s="32"/>
      <x:c r="C38" s="32"/>
      <x:c r="D38" s="35"/>
      <x:c r="E38" s="32"/>
      <x:c r="F38" s="32"/>
      <x:c r="G38" s="32"/>
      <x:c r="H38" s="32"/>
      <x:c r="I38" s="32"/>
      <x:c r="J38" s="32"/>
      <x:c r="K38" s="32"/>
      <x:c r="L38" s="32"/>
      <x:c r="M38" s="32"/>
      <x:c r="N38" s="37"/>
      <x:c r="O38" s="32"/>
      <x:c r="P38" s="40"/>
      <x:c r="Q38" s="40"/>
      <x:c r="R38" s="41" t="str">
        <x:f>IF(OR(P38="",Q38=""),"",P38-Q38)</x:f>
      </x:c>
      <x:c r="S38" s="32"/>
      <x:c r="T38" s="32"/>
      <x:c r="U38" s="32"/>
      <x:c r="V38" s="32"/>
      <x:c r="W38" s="32"/>
      <x:c r="X38" s="32"/>
      <x:c r="Y38" s="43" t="str">
        <x:f>IF(OR(X38="",X38="Pending"),"",IF(X38="Rejected",0,IF(AND(U38="Ya",V38="Ya",W38="Ya"),1,"")))</x:f>
      </x:c>
      <x:c r="AA38" s="32"/>
      <x:c r="AB38" s="32"/>
      <x:c r="AC38" s="32"/>
      <x:c r="AD38" s="32"/>
      <x:c r="AE38" s="32"/>
      <x:c r="AF38" s="32"/>
      <x:c r="AG38" s="33" t="str">
        <x:f>IF(OR(AE38="",AF38=""),"",IF(AE38="Positif",IF(AF38="Positif","TP","FN"),IF(AF38="Positif","FP","TN")))</x:f>
      </x:c>
    </x:row>
    <x:row r="39">
      <x:c r="A39" s="32"/>
      <x:c r="B39" s="32"/>
      <x:c r="C39" s="32"/>
      <x:c r="D39" s="35"/>
      <x:c r="E39" s="32"/>
      <x:c r="F39" s="32"/>
      <x:c r="G39" s="32"/>
      <x:c r="H39" s="32"/>
      <x:c r="I39" s="32"/>
      <x:c r="J39" s="32"/>
      <x:c r="K39" s="32"/>
      <x:c r="L39" s="32"/>
      <x:c r="M39" s="32"/>
      <x:c r="N39" s="37"/>
      <x:c r="O39" s="32"/>
      <x:c r="P39" s="40"/>
      <x:c r="Q39" s="40"/>
      <x:c r="R39" s="41" t="str">
        <x:f>IF(OR(P39="",Q39=""),"",P39-Q39)</x:f>
      </x:c>
      <x:c r="S39" s="32"/>
      <x:c r="T39" s="32"/>
      <x:c r="U39" s="32"/>
      <x:c r="V39" s="32"/>
      <x:c r="W39" s="32"/>
      <x:c r="X39" s="32"/>
      <x:c r="Y39" s="43" t="str">
        <x:f>IF(OR(X39="",X39="Pending"),"",IF(X39="Rejected",0,IF(AND(U39="Ya",V39="Ya",W39="Ya"),1,"")))</x:f>
      </x:c>
      <x:c r="AA39" s="32"/>
      <x:c r="AB39" s="32"/>
      <x:c r="AC39" s="32"/>
      <x:c r="AD39" s="32"/>
      <x:c r="AE39" s="32"/>
      <x:c r="AF39" s="32"/>
      <x:c r="AG39" s="33" t="str">
        <x:f>IF(OR(AE39="",AF39=""),"",IF(AE39="Positif",IF(AF39="Positif","TP","FN"),IF(AF39="Positif","FP","TN")))</x:f>
      </x:c>
    </x:row>
    <x:row r="40">
      <x:c r="A40" s="32"/>
      <x:c r="B40" s="32"/>
      <x:c r="C40" s="32"/>
      <x:c r="D40" s="35"/>
      <x:c r="E40" s="32"/>
      <x:c r="F40" s="32"/>
      <x:c r="G40" s="32"/>
      <x:c r="H40" s="32"/>
      <x:c r="I40" s="32"/>
      <x:c r="J40" s="32"/>
      <x:c r="K40" s="32"/>
      <x:c r="L40" s="32"/>
      <x:c r="M40" s="32"/>
      <x:c r="N40" s="37"/>
      <x:c r="O40" s="32"/>
      <x:c r="P40" s="40"/>
      <x:c r="Q40" s="40"/>
      <x:c r="R40" s="41" t="str">
        <x:f>IF(OR(P40="",Q40=""),"",P40-Q40)</x:f>
      </x:c>
      <x:c r="S40" s="32"/>
      <x:c r="T40" s="32"/>
      <x:c r="U40" s="32"/>
      <x:c r="V40" s="32"/>
      <x:c r="W40" s="32"/>
      <x:c r="X40" s="32"/>
      <x:c r="Y40" s="43" t="str">
        <x:f>IF(OR(X40="",X40="Pending"),"",IF(X40="Rejected",0,IF(AND(U40="Ya",V40="Ya",W40="Ya"),1,"")))</x:f>
      </x:c>
      <x:c r="AA40" s="32"/>
      <x:c r="AB40" s="32"/>
      <x:c r="AC40" s="32"/>
      <x:c r="AD40" s="32"/>
      <x:c r="AE40" s="32"/>
      <x:c r="AF40" s="32"/>
      <x:c r="AG40" s="33" t="str">
        <x:f>IF(OR(AE40="",AF40=""),"",IF(AE40="Positif",IF(AF40="Positif","TP","FN"),IF(AF40="Positif","FP","TN")))</x:f>
      </x:c>
    </x:row>
    <x:row r="41">
      <x:c r="A41" s="32"/>
      <x:c r="B41" s="32"/>
      <x:c r="C41" s="32"/>
      <x:c r="D41" s="35"/>
      <x:c r="E41" s="32"/>
      <x:c r="F41" s="32"/>
      <x:c r="G41" s="32"/>
      <x:c r="H41" s="32"/>
      <x:c r="I41" s="32"/>
      <x:c r="J41" s="32"/>
      <x:c r="K41" s="32"/>
      <x:c r="L41" s="32"/>
      <x:c r="M41" s="32"/>
      <x:c r="N41" s="37"/>
      <x:c r="O41" s="32"/>
      <x:c r="P41" s="40"/>
      <x:c r="Q41" s="40"/>
      <x:c r="R41" s="41" t="str">
        <x:f>IF(OR(P41="",Q41=""),"",P41-Q41)</x:f>
      </x:c>
      <x:c r="S41" s="32"/>
      <x:c r="T41" s="32"/>
      <x:c r="U41" s="32"/>
      <x:c r="V41" s="32"/>
      <x:c r="W41" s="32"/>
      <x:c r="X41" s="32"/>
      <x:c r="Y41" s="43" t="str">
        <x:f>IF(OR(X41="",X41="Pending"),"",IF(X41="Rejected",0,IF(AND(U41="Ya",V41="Ya",W41="Ya"),1,"")))</x:f>
      </x:c>
      <x:c r="AA41" s="32"/>
      <x:c r="AB41" s="32"/>
      <x:c r="AC41" s="32"/>
      <x:c r="AD41" s="32"/>
      <x:c r="AE41" s="32"/>
      <x:c r="AF41" s="32"/>
      <x:c r="AG41" s="33" t="str">
        <x:f>IF(OR(AE41="",AF41=""),"",IF(AE41="Positif",IF(AF41="Positif","TP","FN"),IF(AF41="Positif","FP","TN")))</x:f>
      </x:c>
    </x:row>
    <x:row r="42">
      <x:c r="A42" s="32"/>
      <x:c r="B42" s="32"/>
      <x:c r="C42" s="32"/>
      <x:c r="D42" s="35"/>
      <x:c r="E42" s="32"/>
      <x:c r="F42" s="32"/>
      <x:c r="G42" s="32"/>
      <x:c r="H42" s="32"/>
      <x:c r="I42" s="32"/>
      <x:c r="J42" s="32"/>
      <x:c r="K42" s="32"/>
      <x:c r="L42" s="32"/>
      <x:c r="M42" s="32"/>
      <x:c r="N42" s="37"/>
      <x:c r="O42" s="32"/>
      <x:c r="P42" s="40"/>
      <x:c r="Q42" s="40"/>
      <x:c r="R42" s="41" t="str">
        <x:f>IF(OR(P42="",Q42=""),"",P42-Q42)</x:f>
      </x:c>
      <x:c r="S42" s="32"/>
      <x:c r="T42" s="32"/>
      <x:c r="U42" s="32"/>
      <x:c r="V42" s="32"/>
      <x:c r="W42" s="32"/>
      <x:c r="X42" s="32"/>
      <x:c r="Y42" s="43" t="str">
        <x:f>IF(OR(X42="",X42="Pending"),"",IF(X42="Rejected",0,IF(AND(U42="Ya",V42="Ya",W42="Ya"),1,"")))</x:f>
      </x:c>
      <x:c r="AA42" s="32"/>
      <x:c r="AB42" s="32"/>
      <x:c r="AC42" s="32"/>
      <x:c r="AD42" s="32"/>
      <x:c r="AE42" s="32"/>
      <x:c r="AF42" s="32"/>
      <x:c r="AG42" s="33" t="str">
        <x:f>IF(OR(AE42="",AF42=""),"",IF(AE42="Positif",IF(AF42="Positif","TP","FN"),IF(AF42="Positif","FP","TN")))</x:f>
      </x:c>
    </x:row>
    <x:row r="43">
      <x:c r="A43" s="32"/>
      <x:c r="B43" s="32"/>
      <x:c r="C43" s="32"/>
      <x:c r="D43" s="35"/>
      <x:c r="E43" s="32"/>
      <x:c r="F43" s="32"/>
      <x:c r="G43" s="32"/>
      <x:c r="H43" s="32"/>
      <x:c r="I43" s="32"/>
      <x:c r="J43" s="32"/>
      <x:c r="K43" s="32"/>
      <x:c r="L43" s="32"/>
      <x:c r="M43" s="32"/>
      <x:c r="N43" s="37"/>
      <x:c r="O43" s="32"/>
      <x:c r="P43" s="40"/>
      <x:c r="Q43" s="40"/>
      <x:c r="R43" s="41" t="str">
        <x:f>IF(OR(P43="",Q43=""),"",P43-Q43)</x:f>
      </x:c>
      <x:c r="S43" s="32"/>
      <x:c r="T43" s="32"/>
      <x:c r="U43" s="32"/>
      <x:c r="V43" s="32"/>
      <x:c r="W43" s="32"/>
      <x:c r="X43" s="32"/>
      <x:c r="Y43" s="43" t="str">
        <x:f>IF(OR(X43="",X43="Pending"),"",IF(X43="Rejected",0,IF(AND(U43="Ya",V43="Ya",W43="Ya"),1,"")))</x:f>
      </x:c>
      <x:c r="AA43" s="32"/>
      <x:c r="AB43" s="32"/>
      <x:c r="AC43" s="32"/>
      <x:c r="AD43" s="32"/>
      <x:c r="AE43" s="32"/>
      <x:c r="AF43" s="32"/>
      <x:c r="AG43" s="33" t="str">
        <x:f>IF(OR(AE43="",AF43=""),"",IF(AE43="Positif",IF(AF43="Positif","TP","FN"),IF(AF43="Positif","FP","TN")))</x:f>
      </x:c>
    </x:row>
    <x:row r="44">
      <x:c r="A44" s="32"/>
      <x:c r="B44" s="32"/>
      <x:c r="C44" s="32"/>
      <x:c r="D44" s="35"/>
      <x:c r="E44" s="32"/>
      <x:c r="F44" s="32"/>
      <x:c r="G44" s="32"/>
      <x:c r="H44" s="32"/>
      <x:c r="I44" s="32"/>
      <x:c r="J44" s="32"/>
      <x:c r="K44" s="32"/>
      <x:c r="L44" s="32"/>
      <x:c r="M44" s="32"/>
      <x:c r="N44" s="37"/>
      <x:c r="O44" s="32"/>
      <x:c r="P44" s="40"/>
      <x:c r="Q44" s="40"/>
      <x:c r="R44" s="41" t="str">
        <x:f>IF(OR(P44="",Q44=""),"",P44-Q44)</x:f>
      </x:c>
      <x:c r="S44" s="32"/>
      <x:c r="T44" s="32"/>
      <x:c r="U44" s="32"/>
      <x:c r="V44" s="32"/>
      <x:c r="W44" s="32"/>
      <x:c r="X44" s="32"/>
      <x:c r="Y44" s="43" t="str">
        <x:f>IF(OR(X44="",X44="Pending"),"",IF(X44="Rejected",0,IF(AND(U44="Ya",V44="Ya",W44="Ya"),1,"")))</x:f>
      </x:c>
      <x:c r="AA44" s="32"/>
      <x:c r="AB44" s="32"/>
      <x:c r="AC44" s="32"/>
      <x:c r="AD44" s="32"/>
      <x:c r="AE44" s="32"/>
      <x:c r="AF44" s="32"/>
      <x:c r="AG44" s="33" t="str">
        <x:f>IF(OR(AE44="",AF44=""),"",IF(AE44="Positif",IF(AF44="Positif","TP","FN"),IF(AF44="Positif","FP","TN")))</x:f>
      </x:c>
    </x:row>
    <x:row r="45">
      <x:c r="A45" s="32"/>
      <x:c r="B45" s="32"/>
      <x:c r="C45" s="32"/>
      <x:c r="D45" s="35"/>
      <x:c r="E45" s="32"/>
      <x:c r="F45" s="32"/>
      <x:c r="G45" s="32"/>
      <x:c r="H45" s="32"/>
      <x:c r="I45" s="32"/>
      <x:c r="J45" s="32"/>
      <x:c r="K45" s="32"/>
      <x:c r="L45" s="32"/>
      <x:c r="M45" s="32"/>
      <x:c r="N45" s="37"/>
      <x:c r="O45" s="32"/>
      <x:c r="P45" s="40"/>
      <x:c r="Q45" s="40"/>
      <x:c r="R45" s="41" t="str">
        <x:f>IF(OR(P45="",Q45=""),"",P45-Q45)</x:f>
      </x:c>
      <x:c r="S45" s="32"/>
      <x:c r="T45" s="32"/>
      <x:c r="U45" s="32"/>
      <x:c r="V45" s="32"/>
      <x:c r="W45" s="32"/>
      <x:c r="X45" s="32"/>
      <x:c r="Y45" s="43" t="str">
        <x:f>IF(OR(X45="",X45="Pending"),"",IF(X45="Rejected",0,IF(AND(U45="Ya",V45="Ya",W45="Ya"),1,"")))</x:f>
      </x:c>
      <x:c r="AA45" s="32"/>
      <x:c r="AB45" s="32"/>
      <x:c r="AC45" s="32"/>
      <x:c r="AD45" s="32"/>
      <x:c r="AE45" s="32"/>
      <x:c r="AF45" s="32"/>
      <x:c r="AG45" s="33" t="str">
        <x:f>IF(OR(AE45="",AF45=""),"",IF(AE45="Positif",IF(AF45="Positif","TP","FN"),IF(AF45="Positif","FP","TN")))</x:f>
      </x:c>
    </x:row>
    <x:row r="46">
      <x:c r="A46" s="32"/>
      <x:c r="B46" s="32"/>
      <x:c r="C46" s="32"/>
      <x:c r="D46" s="35"/>
      <x:c r="E46" s="32"/>
      <x:c r="F46" s="32"/>
      <x:c r="G46" s="32"/>
      <x:c r="H46" s="32"/>
      <x:c r="I46" s="32"/>
      <x:c r="J46" s="32"/>
      <x:c r="K46" s="32"/>
      <x:c r="L46" s="32"/>
      <x:c r="M46" s="32"/>
      <x:c r="N46" s="37"/>
      <x:c r="O46" s="32"/>
      <x:c r="P46" s="40"/>
      <x:c r="Q46" s="40"/>
      <x:c r="R46" s="41" t="str">
        <x:f>IF(OR(P46="",Q46=""),"",P46-Q46)</x:f>
      </x:c>
      <x:c r="S46" s="32"/>
      <x:c r="T46" s="32"/>
      <x:c r="U46" s="32"/>
      <x:c r="V46" s="32"/>
      <x:c r="W46" s="32"/>
      <x:c r="X46" s="32"/>
      <x:c r="Y46" s="43" t="str">
        <x:f>IF(OR(X46="",X46="Pending"),"",IF(X46="Rejected",0,IF(AND(U46="Ya",V46="Ya",W46="Ya"),1,"")))</x:f>
      </x:c>
      <x:c r="AA46" s="32"/>
      <x:c r="AB46" s="32"/>
      <x:c r="AC46" s="32"/>
      <x:c r="AD46" s="32"/>
      <x:c r="AE46" s="32"/>
      <x:c r="AF46" s="32"/>
      <x:c r="AG46" s="33" t="str">
        <x:f>IF(OR(AE46="",AF46=""),"",IF(AE46="Positif",IF(AF46="Positif","TP","FN"),IF(AF46="Positif","FP","TN")))</x:f>
      </x:c>
    </x:row>
    <x:row r="47">
      <x:c r="A47" s="32"/>
      <x:c r="B47" s="32"/>
      <x:c r="C47" s="32"/>
      <x:c r="D47" s="35"/>
      <x:c r="E47" s="32"/>
      <x:c r="F47" s="32"/>
      <x:c r="G47" s="32"/>
      <x:c r="H47" s="32"/>
      <x:c r="I47" s="32"/>
      <x:c r="J47" s="32"/>
      <x:c r="K47" s="32"/>
      <x:c r="L47" s="32"/>
      <x:c r="M47" s="32"/>
      <x:c r="N47" s="37"/>
      <x:c r="O47" s="32"/>
      <x:c r="P47" s="40"/>
      <x:c r="Q47" s="40"/>
      <x:c r="R47" s="41" t="str">
        <x:f>IF(OR(P47="",Q47=""),"",P47-Q47)</x:f>
      </x:c>
      <x:c r="S47" s="32"/>
      <x:c r="T47" s="32"/>
      <x:c r="U47" s="32"/>
      <x:c r="V47" s="32"/>
      <x:c r="W47" s="32"/>
      <x:c r="X47" s="32"/>
      <x:c r="Y47" s="43" t="str">
        <x:f>IF(OR(X47="",X47="Pending"),"",IF(X47="Rejected",0,IF(AND(U47="Ya",V47="Ya",W47="Ya"),1,"")))</x:f>
      </x:c>
      <x:c r="AA47" s="32"/>
      <x:c r="AB47" s="32"/>
      <x:c r="AC47" s="32"/>
      <x:c r="AD47" s="32"/>
      <x:c r="AE47" s="32"/>
      <x:c r="AF47" s="32"/>
      <x:c r="AG47" s="33" t="str">
        <x:f>IF(OR(AE47="",AF47=""),"",IF(AE47="Positif",IF(AF47="Positif","TP","FN"),IF(AF47="Positif","FP","TN")))</x:f>
      </x:c>
    </x:row>
    <x:row r="48">
      <x:c r="A48" s="32"/>
      <x:c r="B48" s="32"/>
      <x:c r="C48" s="32"/>
      <x:c r="D48" s="35"/>
      <x:c r="E48" s="32"/>
      <x:c r="F48" s="32"/>
      <x:c r="G48" s="32"/>
      <x:c r="H48" s="32"/>
      <x:c r="I48" s="32"/>
      <x:c r="J48" s="32"/>
      <x:c r="K48" s="32"/>
      <x:c r="L48" s="32"/>
      <x:c r="M48" s="32"/>
      <x:c r="N48" s="37"/>
      <x:c r="O48" s="32"/>
      <x:c r="P48" s="40"/>
      <x:c r="Q48" s="40"/>
      <x:c r="R48" s="41" t="str">
        <x:f>IF(OR(P48="",Q48=""),"",P48-Q48)</x:f>
      </x:c>
      <x:c r="S48" s="32"/>
      <x:c r="T48" s="32"/>
      <x:c r="U48" s="32"/>
      <x:c r="V48" s="32"/>
      <x:c r="W48" s="32"/>
      <x:c r="X48" s="32"/>
      <x:c r="Y48" s="43" t="str">
        <x:f>IF(OR(X48="",X48="Pending"),"",IF(X48="Rejected",0,IF(AND(U48="Ya",V48="Ya",W48="Ya"),1,"")))</x:f>
      </x:c>
      <x:c r="AA48" s="32"/>
      <x:c r="AB48" s="32"/>
      <x:c r="AC48" s="32"/>
      <x:c r="AD48" s="32"/>
      <x:c r="AE48" s="32"/>
      <x:c r="AF48" s="32"/>
      <x:c r="AG48" s="33" t="str">
        <x:f>IF(OR(AE48="",AF48=""),"",IF(AE48="Positif",IF(AF48="Positif","TP","FN"),IF(AF48="Positif","FP","TN")))</x:f>
      </x:c>
    </x:row>
    <x:row r="49">
      <x:c r="A49" s="32"/>
      <x:c r="B49" s="32"/>
      <x:c r="C49" s="32"/>
      <x:c r="D49" s="35"/>
      <x:c r="E49" s="32"/>
      <x:c r="F49" s="32"/>
      <x:c r="G49" s="32"/>
      <x:c r="H49" s="32"/>
      <x:c r="I49" s="32"/>
      <x:c r="J49" s="32"/>
      <x:c r="K49" s="32"/>
      <x:c r="L49" s="32"/>
      <x:c r="M49" s="32"/>
      <x:c r="N49" s="37"/>
      <x:c r="O49" s="32"/>
      <x:c r="P49" s="40"/>
      <x:c r="Q49" s="40"/>
      <x:c r="R49" s="41" t="str">
        <x:f>IF(OR(P49="",Q49=""),"",P49-Q49)</x:f>
      </x:c>
      <x:c r="S49" s="32"/>
      <x:c r="T49" s="32"/>
      <x:c r="U49" s="32"/>
      <x:c r="V49" s="32"/>
      <x:c r="W49" s="32"/>
      <x:c r="X49" s="32"/>
      <x:c r="Y49" s="43" t="str">
        <x:f>IF(OR(X49="",X49="Pending"),"",IF(X49="Rejected",0,IF(AND(U49="Ya",V49="Ya",W49="Ya"),1,"")))</x:f>
      </x:c>
      <x:c r="AA49" s="32"/>
      <x:c r="AB49" s="32"/>
      <x:c r="AC49" s="32"/>
      <x:c r="AD49" s="32"/>
      <x:c r="AE49" s="32"/>
      <x:c r="AF49" s="32"/>
      <x:c r="AG49" s="33" t="str">
        <x:f>IF(OR(AE49="",AF49=""),"",IF(AE49="Positif",IF(AF49="Positif","TP","FN"),IF(AF49="Positif","FP","TN")))</x:f>
      </x:c>
    </x:row>
    <x:row r="50">
      <x:c r="A50" s="32"/>
      <x:c r="B50" s="32"/>
      <x:c r="C50" s="32"/>
      <x:c r="D50" s="35"/>
      <x:c r="E50" s="32"/>
      <x:c r="F50" s="32"/>
      <x:c r="G50" s="32"/>
      <x:c r="H50" s="32"/>
      <x:c r="I50" s="32"/>
      <x:c r="J50" s="32"/>
      <x:c r="K50" s="32"/>
      <x:c r="L50" s="32"/>
      <x:c r="M50" s="32"/>
      <x:c r="N50" s="37"/>
      <x:c r="O50" s="32"/>
      <x:c r="P50" s="40"/>
      <x:c r="Q50" s="40"/>
      <x:c r="R50" s="41" t="str">
        <x:f>IF(OR(P50="",Q50=""),"",P50-Q50)</x:f>
      </x:c>
      <x:c r="S50" s="32"/>
      <x:c r="T50" s="32"/>
      <x:c r="U50" s="32"/>
      <x:c r="V50" s="32"/>
      <x:c r="W50" s="32"/>
      <x:c r="X50" s="32"/>
      <x:c r="Y50" s="43" t="str">
        <x:f>IF(OR(X50="",X50="Pending"),"",IF(X50="Rejected",0,IF(AND(U50="Ya",V50="Ya",W50="Ya"),1,"")))</x:f>
      </x:c>
      <x:c r="AA50" s="32"/>
      <x:c r="AB50" s="32"/>
      <x:c r="AC50" s="32"/>
      <x:c r="AD50" s="32"/>
      <x:c r="AE50" s="32"/>
      <x:c r="AF50" s="32"/>
      <x:c r="AG50" s="33" t="str">
        <x:f>IF(OR(AE50="",AF50=""),"",IF(AE50="Positif",IF(AF50="Positif","TP","FN"),IF(AF50="Positif","FP","TN")))</x:f>
      </x:c>
    </x:row>
    <x:row r="51">
      <x:c r="A51" s="32"/>
      <x:c r="B51" s="32"/>
      <x:c r="C51" s="32"/>
      <x:c r="D51" s="35"/>
      <x:c r="E51" s="32"/>
      <x:c r="F51" s="32"/>
      <x:c r="G51" s="32"/>
      <x:c r="H51" s="32"/>
      <x:c r="I51" s="32"/>
      <x:c r="J51" s="32"/>
      <x:c r="K51" s="32"/>
      <x:c r="L51" s="32"/>
      <x:c r="M51" s="32"/>
      <x:c r="N51" s="37"/>
      <x:c r="O51" s="32"/>
      <x:c r="P51" s="40"/>
      <x:c r="Q51" s="40"/>
      <x:c r="R51" s="41" t="str">
        <x:f>IF(OR(P51="",Q51=""),"",P51-Q51)</x:f>
      </x:c>
      <x:c r="S51" s="32"/>
      <x:c r="T51" s="32"/>
      <x:c r="U51" s="32"/>
      <x:c r="V51" s="32"/>
      <x:c r="W51" s="32"/>
      <x:c r="X51" s="32"/>
      <x:c r="Y51" s="43" t="str">
        <x:f>IF(OR(X51="",X51="Pending"),"",IF(X51="Rejected",0,IF(AND(U51="Ya",V51="Ya",W51="Ya"),1,"")))</x:f>
      </x:c>
      <x:c r="AA51" s="32"/>
      <x:c r="AB51" s="32"/>
      <x:c r="AC51" s="32"/>
      <x:c r="AD51" s="32"/>
      <x:c r="AE51" s="32"/>
      <x:c r="AF51" s="32"/>
      <x:c r="AG51" s="33" t="str">
        <x:f>IF(OR(AE51="",AF51=""),"",IF(AE51="Positif",IF(AF51="Positif","TP","FN"),IF(AF51="Positif","FP","TN")))</x:f>
      </x:c>
    </x:row>
    <x:row r="52">
      <x:c r="A52" s="32"/>
      <x:c r="B52" s="32"/>
      <x:c r="C52" s="32"/>
      <x:c r="D52" s="35"/>
      <x:c r="E52" s="32"/>
      <x:c r="F52" s="32"/>
      <x:c r="G52" s="32"/>
      <x:c r="H52" s="32"/>
      <x:c r="I52" s="32"/>
      <x:c r="J52" s="32"/>
      <x:c r="K52" s="32"/>
      <x:c r="L52" s="32"/>
      <x:c r="M52" s="32"/>
      <x:c r="N52" s="37"/>
      <x:c r="O52" s="32"/>
      <x:c r="P52" s="40"/>
      <x:c r="Q52" s="40"/>
      <x:c r="R52" s="41" t="str">
        <x:f>IF(OR(P52="",Q52=""),"",P52-Q52)</x:f>
      </x:c>
      <x:c r="S52" s="32"/>
      <x:c r="T52" s="32"/>
      <x:c r="U52" s="32"/>
      <x:c r="V52" s="32"/>
      <x:c r="W52" s="32"/>
      <x:c r="X52" s="32"/>
      <x:c r="Y52" s="43" t="str">
        <x:f>IF(OR(X52="",X52="Pending"),"",IF(X52="Rejected",0,IF(AND(U52="Ya",V52="Ya",W52="Ya"),1,"")))</x:f>
      </x:c>
      <x:c r="AA52" s="32"/>
      <x:c r="AB52" s="32"/>
      <x:c r="AC52" s="32"/>
      <x:c r="AD52" s="32"/>
      <x:c r="AE52" s="32"/>
      <x:c r="AF52" s="32"/>
      <x:c r="AG52" s="33" t="str">
        <x:f>IF(OR(AE52="",AF52=""),"",IF(AE52="Positif",IF(AF52="Positif","TP","FN"),IF(AF52="Positif","FP","TN")))</x:f>
      </x:c>
    </x:row>
    <x:row r="53">
      <x:c r="A53" s="32"/>
      <x:c r="B53" s="32"/>
      <x:c r="C53" s="32"/>
      <x:c r="D53" s="35"/>
      <x:c r="E53" s="32"/>
      <x:c r="F53" s="32"/>
      <x:c r="G53" s="32"/>
      <x:c r="H53" s="32"/>
      <x:c r="I53" s="32"/>
      <x:c r="J53" s="32"/>
      <x:c r="K53" s="32"/>
      <x:c r="L53" s="32"/>
      <x:c r="M53" s="32"/>
      <x:c r="N53" s="37"/>
      <x:c r="O53" s="32"/>
      <x:c r="P53" s="40"/>
      <x:c r="Q53" s="40"/>
      <x:c r="R53" s="41" t="str">
        <x:f>IF(OR(P53="",Q53=""),"",P53-Q53)</x:f>
      </x:c>
      <x:c r="S53" s="32"/>
      <x:c r="T53" s="32"/>
      <x:c r="U53" s="32"/>
      <x:c r="V53" s="32"/>
      <x:c r="W53" s="32"/>
      <x:c r="X53" s="32"/>
      <x:c r="Y53" s="43" t="str">
        <x:f>IF(OR(X53="",X53="Pending"),"",IF(X53="Rejected",0,IF(AND(U53="Ya",V53="Ya",W53="Ya"),1,"")))</x:f>
      </x:c>
      <x:c r="AA53" s="32"/>
      <x:c r="AB53" s="32"/>
      <x:c r="AC53" s="32"/>
      <x:c r="AD53" s="32"/>
      <x:c r="AE53" s="32"/>
      <x:c r="AF53" s="32"/>
      <x:c r="AG53" s="33" t="str">
        <x:f>IF(OR(AE53="",AF53=""),"",IF(AE53="Positif",IF(AF53="Positif","TP","FN"),IF(AF53="Positif","FP","TN")))</x:f>
      </x:c>
    </x:row>
    <x:row r="54">
      <x:c r="A54" s="32"/>
      <x:c r="B54" s="32"/>
      <x:c r="C54" s="32"/>
      <x:c r="D54" s="35"/>
      <x:c r="E54" s="32"/>
      <x:c r="F54" s="32"/>
      <x:c r="G54" s="32"/>
      <x:c r="H54" s="32"/>
      <x:c r="I54" s="32"/>
      <x:c r="J54" s="32"/>
      <x:c r="K54" s="32"/>
      <x:c r="L54" s="32"/>
      <x:c r="M54" s="32"/>
      <x:c r="N54" s="37"/>
      <x:c r="O54" s="32"/>
      <x:c r="P54" s="40"/>
      <x:c r="Q54" s="40"/>
      <x:c r="R54" s="41" t="str">
        <x:f>IF(OR(P54="",Q54=""),"",P54-Q54)</x:f>
      </x:c>
      <x:c r="S54" s="32"/>
      <x:c r="T54" s="32"/>
      <x:c r="U54" s="32"/>
      <x:c r="V54" s="32"/>
      <x:c r="W54" s="32"/>
      <x:c r="X54" s="32"/>
      <x:c r="Y54" s="43" t="str">
        <x:f>IF(OR(X54="",X54="Pending"),"",IF(X54="Rejected",0,IF(AND(U54="Ya",V54="Ya",W54="Ya"),1,"")))</x:f>
      </x:c>
      <x:c r="AA54" s="32"/>
      <x:c r="AB54" s="32"/>
      <x:c r="AC54" s="32"/>
      <x:c r="AD54" s="32"/>
      <x:c r="AE54" s="32"/>
      <x:c r="AF54" s="32"/>
      <x:c r="AG54" s="33" t="str">
        <x:f>IF(OR(AE54="",AF54=""),"",IF(AE54="Positif",IF(AF54="Positif","TP","FN"),IF(AF54="Positif","FP","TN")))</x:f>
      </x:c>
    </x:row>
    <x:row r="55">
      <x:c r="A55" s="32"/>
      <x:c r="B55" s="32"/>
      <x:c r="C55" s="32"/>
      <x:c r="D55" s="35"/>
      <x:c r="E55" s="32"/>
      <x:c r="F55" s="32"/>
      <x:c r="G55" s="32"/>
      <x:c r="H55" s="32"/>
      <x:c r="I55" s="32"/>
      <x:c r="J55" s="32"/>
      <x:c r="K55" s="32"/>
      <x:c r="L55" s="32"/>
      <x:c r="M55" s="32"/>
      <x:c r="N55" s="37"/>
      <x:c r="O55" s="32"/>
      <x:c r="P55" s="40"/>
      <x:c r="Q55" s="40"/>
      <x:c r="R55" s="41" t="str">
        <x:f>IF(OR(P55="",Q55=""),"",P55-Q55)</x:f>
      </x:c>
      <x:c r="S55" s="32"/>
      <x:c r="T55" s="32"/>
      <x:c r="U55" s="32"/>
      <x:c r="V55" s="32"/>
      <x:c r="W55" s="32"/>
      <x:c r="X55" s="32"/>
      <x:c r="Y55" s="43" t="str">
        <x:f>IF(OR(X55="",X55="Pending"),"",IF(X55="Rejected",0,IF(AND(U55="Ya",V55="Ya",W55="Ya"),1,"")))</x:f>
      </x:c>
      <x:c r="AA55" s="32"/>
      <x:c r="AB55" s="32"/>
      <x:c r="AC55" s="32"/>
      <x:c r="AD55" s="32"/>
      <x:c r="AE55" s="32"/>
      <x:c r="AF55" s="32"/>
      <x:c r="AG55" s="33" t="str">
        <x:f>IF(OR(AE55="",AF55=""),"",IF(AE55="Positif",IF(AF55="Positif","TP","FN"),IF(AF55="Positif","FP","TN")))</x:f>
      </x:c>
    </x:row>
    <x:row r="56">
      <x:c r="A56" s="32"/>
      <x:c r="B56" s="32"/>
      <x:c r="C56" s="32"/>
      <x:c r="D56" s="35"/>
      <x:c r="E56" s="32"/>
      <x:c r="F56" s="32"/>
      <x:c r="G56" s="32"/>
      <x:c r="H56" s="32"/>
      <x:c r="I56" s="32"/>
      <x:c r="J56" s="32"/>
      <x:c r="K56" s="32"/>
      <x:c r="L56" s="32"/>
      <x:c r="M56" s="32"/>
      <x:c r="N56" s="37"/>
      <x:c r="O56" s="32"/>
      <x:c r="P56" s="40"/>
      <x:c r="Q56" s="40"/>
      <x:c r="R56" s="41" t="str">
        <x:f>IF(OR(P56="",Q56=""),"",P56-Q56)</x:f>
      </x:c>
      <x:c r="S56" s="32"/>
      <x:c r="T56" s="32"/>
      <x:c r="U56" s="32"/>
      <x:c r="V56" s="32"/>
      <x:c r="W56" s="32"/>
      <x:c r="X56" s="32"/>
      <x:c r="Y56" s="43" t="str">
        <x:f>IF(OR(X56="",X56="Pending"),"",IF(X56="Rejected",0,IF(AND(U56="Ya",V56="Ya",W56="Ya"),1,"")))</x:f>
      </x:c>
      <x:c r="AA56" s="32"/>
      <x:c r="AB56" s="32"/>
      <x:c r="AC56" s="32"/>
      <x:c r="AD56" s="32"/>
      <x:c r="AE56" s="32"/>
      <x:c r="AF56" s="32"/>
      <x:c r="AG56" s="33" t="str">
        <x:f>IF(OR(AE56="",AF56=""),"",IF(AE56="Positif",IF(AF56="Positif","TP","FN"),IF(AF56="Positif","FP","TN")))</x:f>
      </x:c>
    </x:row>
    <x:row r="57">
      <x:c r="A57" s="32"/>
      <x:c r="B57" s="32"/>
      <x:c r="C57" s="32"/>
      <x:c r="D57" s="35"/>
      <x:c r="E57" s="32"/>
      <x:c r="F57" s="32"/>
      <x:c r="G57" s="32"/>
      <x:c r="H57" s="32"/>
      <x:c r="I57" s="32"/>
      <x:c r="J57" s="32"/>
      <x:c r="K57" s="32"/>
      <x:c r="L57" s="32"/>
      <x:c r="M57" s="32"/>
      <x:c r="N57" s="37"/>
      <x:c r="O57" s="32"/>
      <x:c r="P57" s="40"/>
      <x:c r="Q57" s="40"/>
      <x:c r="R57" s="41" t="str">
        <x:f>IF(OR(P57="",Q57=""),"",P57-Q57)</x:f>
      </x:c>
      <x:c r="S57" s="32"/>
      <x:c r="T57" s="32"/>
      <x:c r="U57" s="32"/>
      <x:c r="V57" s="32"/>
      <x:c r="W57" s="32"/>
      <x:c r="X57" s="32"/>
      <x:c r="Y57" s="43" t="str">
        <x:f>IF(OR(X57="",X57="Pending"),"",IF(X57="Rejected",0,IF(AND(U57="Ya",V57="Ya",W57="Ya"),1,"")))</x:f>
      </x:c>
      <x:c r="AA57" s="32"/>
      <x:c r="AB57" s="32"/>
      <x:c r="AC57" s="32"/>
      <x:c r="AD57" s="32"/>
      <x:c r="AE57" s="32"/>
      <x:c r="AF57" s="32"/>
      <x:c r="AG57" s="33" t="str">
        <x:f>IF(OR(AE57="",AF57=""),"",IF(AE57="Positif",IF(AF57="Positif","TP","FN"),IF(AF57="Positif","FP","TN")))</x:f>
      </x:c>
    </x:row>
    <x:row r="58">
      <x:c r="A58" s="32"/>
      <x:c r="B58" s="32"/>
      <x:c r="C58" s="32"/>
      <x:c r="D58" s="35"/>
      <x:c r="E58" s="32"/>
      <x:c r="F58" s="32"/>
      <x:c r="G58" s="32"/>
      <x:c r="H58" s="32"/>
      <x:c r="I58" s="32"/>
      <x:c r="J58" s="32"/>
      <x:c r="K58" s="32"/>
      <x:c r="L58" s="32"/>
      <x:c r="M58" s="32"/>
      <x:c r="N58" s="37"/>
      <x:c r="O58" s="32"/>
      <x:c r="P58" s="40"/>
      <x:c r="Q58" s="40"/>
      <x:c r="R58" s="41" t="str">
        <x:f>IF(OR(P58="",Q58=""),"",P58-Q58)</x:f>
      </x:c>
      <x:c r="S58" s="32"/>
      <x:c r="T58" s="32"/>
      <x:c r="U58" s="32"/>
      <x:c r="V58" s="32"/>
      <x:c r="W58" s="32"/>
      <x:c r="X58" s="32"/>
      <x:c r="Y58" s="43" t="str">
        <x:f>IF(OR(X58="",X58="Pending"),"",IF(X58="Rejected",0,IF(AND(U58="Ya",V58="Ya",W58="Ya"),1,"")))</x:f>
      </x:c>
      <x:c r="AA58" s="32"/>
      <x:c r="AB58" s="32"/>
      <x:c r="AC58" s="32"/>
      <x:c r="AD58" s="32"/>
      <x:c r="AE58" s="32"/>
      <x:c r="AF58" s="32"/>
      <x:c r="AG58" s="33" t="str">
        <x:f>IF(OR(AE58="",AF58=""),"",IF(AE58="Positif",IF(AF58="Positif","TP","FN"),IF(AF58="Positif","FP","TN")))</x:f>
      </x:c>
    </x:row>
    <x:row r="59">
      <x:c r="A59" s="32"/>
      <x:c r="B59" s="32"/>
      <x:c r="C59" s="32"/>
      <x:c r="D59" s="35"/>
      <x:c r="E59" s="32"/>
      <x:c r="F59" s="32"/>
      <x:c r="G59" s="32"/>
      <x:c r="H59" s="32"/>
      <x:c r="I59" s="32"/>
      <x:c r="J59" s="32"/>
      <x:c r="K59" s="32"/>
      <x:c r="L59" s="32"/>
      <x:c r="M59" s="32"/>
      <x:c r="N59" s="37"/>
      <x:c r="O59" s="32"/>
      <x:c r="P59" s="40"/>
      <x:c r="Q59" s="40"/>
      <x:c r="R59" s="41" t="str">
        <x:f>IF(OR(P59="",Q59=""),"",P59-Q59)</x:f>
      </x:c>
      <x:c r="S59" s="32"/>
      <x:c r="T59" s="32"/>
      <x:c r="U59" s="32"/>
      <x:c r="V59" s="32"/>
      <x:c r="W59" s="32"/>
      <x:c r="X59" s="32"/>
      <x:c r="Y59" s="43" t="str">
        <x:f>IF(OR(X59="",X59="Pending"),"",IF(X59="Rejected",0,IF(AND(U59="Ya",V59="Ya",W59="Ya"),1,"")))</x:f>
      </x:c>
      <x:c r="AA59" s="32"/>
      <x:c r="AB59" s="32"/>
      <x:c r="AC59" s="32"/>
      <x:c r="AD59" s="32"/>
      <x:c r="AE59" s="32"/>
      <x:c r="AF59" s="32"/>
      <x:c r="AG59" s="33" t="str">
        <x:f>IF(OR(AE59="",AF59=""),"",IF(AE59="Positif",IF(AF59="Positif","TP","FN"),IF(AF59="Positif","FP","TN")))</x:f>
      </x:c>
    </x:row>
    <x:row r="60">
      <x:c r="A60" s="32"/>
      <x:c r="B60" s="32"/>
      <x:c r="C60" s="32"/>
      <x:c r="D60" s="35"/>
      <x:c r="E60" s="32"/>
      <x:c r="F60" s="32"/>
      <x:c r="G60" s="32"/>
      <x:c r="H60" s="32"/>
      <x:c r="I60" s="32"/>
      <x:c r="J60" s="32"/>
      <x:c r="K60" s="32"/>
      <x:c r="L60" s="32"/>
      <x:c r="M60" s="32"/>
      <x:c r="N60" s="37"/>
      <x:c r="O60" s="32"/>
      <x:c r="P60" s="40"/>
      <x:c r="Q60" s="40"/>
      <x:c r="R60" s="41" t="str">
        <x:f>IF(OR(P60="",Q60=""),"",P60-Q60)</x:f>
      </x:c>
      <x:c r="S60" s="32"/>
      <x:c r="T60" s="32"/>
      <x:c r="U60" s="32"/>
      <x:c r="V60" s="32"/>
      <x:c r="W60" s="32"/>
      <x:c r="X60" s="32"/>
      <x:c r="Y60" s="43" t="str">
        <x:f>IF(OR(X60="",X60="Pending"),"",IF(X60="Rejected",0,IF(AND(U60="Ya",V60="Ya",W60="Ya"),1,"")))</x:f>
      </x:c>
      <x:c r="AA60" s="32"/>
      <x:c r="AB60" s="32"/>
      <x:c r="AC60" s="32"/>
      <x:c r="AD60" s="32"/>
      <x:c r="AE60" s="32"/>
      <x:c r="AF60" s="32"/>
      <x:c r="AG60" s="33" t="str">
        <x:f>IF(OR(AE60="",AF60=""),"",IF(AE60="Positif",IF(AF60="Positif","TP","FN"),IF(AF60="Positif","FP","TN")))</x:f>
      </x:c>
    </x:row>
    <x:row r="61">
      <x:c r="A61" s="32"/>
      <x:c r="B61" s="32"/>
      <x:c r="C61" s="32"/>
      <x:c r="D61" s="35"/>
      <x:c r="E61" s="32"/>
      <x:c r="F61" s="32"/>
      <x:c r="G61" s="32"/>
      <x:c r="H61" s="32"/>
      <x:c r="I61" s="32"/>
      <x:c r="J61" s="32"/>
      <x:c r="K61" s="32"/>
      <x:c r="L61" s="32"/>
      <x:c r="M61" s="32"/>
      <x:c r="N61" s="37"/>
      <x:c r="O61" s="32"/>
      <x:c r="P61" s="40"/>
      <x:c r="Q61" s="40"/>
      <x:c r="R61" s="41" t="str">
        <x:f>IF(OR(P61="",Q61=""),"",P61-Q61)</x:f>
      </x:c>
      <x:c r="S61" s="32"/>
      <x:c r="T61" s="32"/>
      <x:c r="U61" s="32"/>
      <x:c r="V61" s="32"/>
      <x:c r="W61" s="32"/>
      <x:c r="X61" s="32"/>
      <x:c r="Y61" s="43" t="str">
        <x:f>IF(OR(X61="",X61="Pending"),"",IF(X61="Rejected",0,IF(AND(U61="Ya",V61="Ya",W61="Ya"),1,"")))</x:f>
      </x:c>
      <x:c r="AA61" s="32"/>
      <x:c r="AB61" s="32"/>
      <x:c r="AC61" s="32"/>
      <x:c r="AD61" s="32"/>
      <x:c r="AE61" s="32"/>
      <x:c r="AF61" s="32"/>
      <x:c r="AG61" s="33" t="str">
        <x:f>IF(OR(AE61="",AF61=""),"",IF(AE61="Positif",IF(AF61="Positif","TP","FN"),IF(AF61="Positif","FP","TN")))</x:f>
      </x:c>
    </x:row>
    <x:row r="62">
      <x:c r="A62" s="32"/>
      <x:c r="B62" s="32"/>
      <x:c r="C62" s="32"/>
      <x:c r="D62" s="35"/>
      <x:c r="E62" s="32"/>
      <x:c r="F62" s="32"/>
      <x:c r="G62" s="32"/>
      <x:c r="H62" s="32"/>
      <x:c r="I62" s="32"/>
      <x:c r="J62" s="32"/>
      <x:c r="K62" s="32"/>
      <x:c r="L62" s="32"/>
      <x:c r="M62" s="32"/>
      <x:c r="N62" s="37"/>
      <x:c r="O62" s="32"/>
      <x:c r="P62" s="40"/>
      <x:c r="Q62" s="40"/>
      <x:c r="R62" s="41" t="str">
        <x:f>IF(OR(P62="",Q62=""),"",P62-Q62)</x:f>
      </x:c>
      <x:c r="S62" s="32"/>
      <x:c r="T62" s="32"/>
      <x:c r="U62" s="32"/>
      <x:c r="V62" s="32"/>
      <x:c r="W62" s="32"/>
      <x:c r="X62" s="32"/>
      <x:c r="Y62" s="43" t="str">
        <x:f>IF(OR(X62="",X62="Pending"),"",IF(X62="Rejected",0,IF(AND(U62="Ya",V62="Ya",W62="Ya"),1,"")))</x:f>
      </x:c>
      <x:c r="AA62" s="32"/>
      <x:c r="AB62" s="32"/>
      <x:c r="AC62" s="32"/>
      <x:c r="AD62" s="32"/>
      <x:c r="AE62" s="32"/>
      <x:c r="AF62" s="32"/>
      <x:c r="AG62" s="33" t="str">
        <x:f>IF(OR(AE62="",AF62=""),"",IF(AE62="Positif",IF(AF62="Positif","TP","FN"),IF(AF62="Positif","FP","TN")))</x:f>
      </x:c>
    </x:row>
    <x:row r="63">
      <x:c r="A63" s="32"/>
      <x:c r="B63" s="32"/>
      <x:c r="C63" s="32"/>
      <x:c r="D63" s="35"/>
      <x:c r="E63" s="32"/>
      <x:c r="F63" s="32"/>
      <x:c r="G63" s="32"/>
      <x:c r="H63" s="32"/>
      <x:c r="I63" s="32"/>
      <x:c r="J63" s="32"/>
      <x:c r="K63" s="32"/>
      <x:c r="L63" s="32"/>
      <x:c r="M63" s="32"/>
      <x:c r="N63" s="37"/>
      <x:c r="O63" s="32"/>
      <x:c r="P63" s="40"/>
      <x:c r="Q63" s="40"/>
      <x:c r="R63" s="41" t="str">
        <x:f>IF(OR(P63="",Q63=""),"",P63-Q63)</x:f>
      </x:c>
      <x:c r="S63" s="32"/>
      <x:c r="T63" s="32"/>
      <x:c r="U63" s="32"/>
      <x:c r="V63" s="32"/>
      <x:c r="W63" s="32"/>
      <x:c r="X63" s="32"/>
      <x:c r="Y63" s="43" t="str">
        <x:f>IF(OR(X63="",X63="Pending"),"",IF(X63="Rejected",0,IF(AND(U63="Ya",V63="Ya",W63="Ya"),1,"")))</x:f>
      </x:c>
      <x:c r="AA63" s="32"/>
      <x:c r="AB63" s="32"/>
      <x:c r="AC63" s="32"/>
      <x:c r="AD63" s="32"/>
      <x:c r="AE63" s="32"/>
      <x:c r="AF63" s="32"/>
      <x:c r="AG63" s="33" t="str">
        <x:f>IF(OR(AE63="",AF63=""),"",IF(AE63="Positif",IF(AF63="Positif","TP","FN"),IF(AF63="Positif","FP","TN")))</x:f>
      </x:c>
    </x:row>
    <x:row r="64">
      <x:c r="A64" s="32"/>
      <x:c r="B64" s="32"/>
      <x:c r="C64" s="32"/>
      <x:c r="D64" s="35"/>
      <x:c r="E64" s="32"/>
      <x:c r="F64" s="32"/>
      <x:c r="G64" s="32"/>
      <x:c r="H64" s="32"/>
      <x:c r="I64" s="32"/>
      <x:c r="J64" s="32"/>
      <x:c r="K64" s="32"/>
      <x:c r="L64" s="32"/>
      <x:c r="M64" s="32"/>
      <x:c r="N64" s="37"/>
      <x:c r="O64" s="32"/>
      <x:c r="P64" s="40"/>
      <x:c r="Q64" s="40"/>
      <x:c r="R64" s="41" t="str">
        <x:f>IF(OR(P64="",Q64=""),"",P64-Q64)</x:f>
      </x:c>
      <x:c r="S64" s="32"/>
      <x:c r="T64" s="32"/>
      <x:c r="U64" s="32"/>
      <x:c r="V64" s="32"/>
      <x:c r="W64" s="32"/>
      <x:c r="X64" s="32"/>
      <x:c r="Y64" s="43" t="str">
        <x:f>IF(OR(X64="",X64="Pending"),"",IF(X64="Rejected",0,IF(AND(U64="Ya",V64="Ya",W64="Ya"),1,"")))</x:f>
      </x:c>
      <x:c r="AA64" s="32"/>
      <x:c r="AB64" s="32"/>
      <x:c r="AC64" s="32"/>
      <x:c r="AD64" s="32"/>
      <x:c r="AE64" s="32"/>
      <x:c r="AF64" s="32"/>
      <x:c r="AG64" s="33" t="str">
        <x:f>IF(OR(AE64="",AF64=""),"",IF(AE64="Positif",IF(AF64="Positif","TP","FN"),IF(AF64="Positif","FP","TN")))</x:f>
      </x:c>
    </x:row>
    <x:row r="65">
      <x:c r="A65" s="32"/>
      <x:c r="B65" s="32"/>
      <x:c r="C65" s="32"/>
      <x:c r="D65" s="35"/>
      <x:c r="E65" s="32"/>
      <x:c r="F65" s="32"/>
      <x:c r="G65" s="32"/>
      <x:c r="H65" s="32"/>
      <x:c r="I65" s="32"/>
      <x:c r="J65" s="32"/>
      <x:c r="K65" s="32"/>
      <x:c r="L65" s="32"/>
      <x:c r="M65" s="32"/>
      <x:c r="N65" s="37"/>
      <x:c r="O65" s="32"/>
      <x:c r="P65" s="40"/>
      <x:c r="Q65" s="40"/>
      <x:c r="R65" s="41" t="str">
        <x:f>IF(OR(P65="",Q65=""),"",P65-Q65)</x:f>
      </x:c>
      <x:c r="S65" s="32"/>
      <x:c r="T65" s="32"/>
      <x:c r="U65" s="32"/>
      <x:c r="V65" s="32"/>
      <x:c r="W65" s="32"/>
      <x:c r="X65" s="32"/>
      <x:c r="Y65" s="43" t="str">
        <x:f>IF(OR(X65="",X65="Pending"),"",IF(X65="Rejected",0,IF(AND(U65="Ya",V65="Ya",W65="Ya"),1,"")))</x:f>
      </x:c>
      <x:c r="AA65" s="32"/>
      <x:c r="AB65" s="32"/>
      <x:c r="AC65" s="32"/>
      <x:c r="AD65" s="32"/>
      <x:c r="AE65" s="32"/>
      <x:c r="AF65" s="32"/>
      <x:c r="AG65" s="33" t="str">
        <x:f>IF(OR(AE65="",AF65=""),"",IF(AE65="Positif",IF(AF65="Positif","TP","FN"),IF(AF65="Positif","FP","TN")))</x:f>
      </x:c>
    </x:row>
    <x:row r="66">
      <x:c r="A66" s="32"/>
      <x:c r="B66" s="32"/>
      <x:c r="C66" s="32"/>
      <x:c r="D66" s="35"/>
      <x:c r="E66" s="32"/>
      <x:c r="F66" s="32"/>
      <x:c r="G66" s="32"/>
      <x:c r="H66" s="32"/>
      <x:c r="I66" s="32"/>
      <x:c r="J66" s="32"/>
      <x:c r="K66" s="32"/>
      <x:c r="L66" s="32"/>
      <x:c r="M66" s="32"/>
      <x:c r="N66" s="37"/>
      <x:c r="O66" s="32"/>
      <x:c r="P66" s="40"/>
      <x:c r="Q66" s="40"/>
      <x:c r="R66" s="41" t="str">
        <x:f>IF(OR(P66="",Q66=""),"",P66-Q66)</x:f>
      </x:c>
      <x:c r="S66" s="32"/>
      <x:c r="T66" s="32"/>
      <x:c r="U66" s="32"/>
      <x:c r="V66" s="32"/>
      <x:c r="W66" s="32"/>
      <x:c r="X66" s="32"/>
      <x:c r="Y66" s="43" t="str">
        <x:f>IF(OR(X66="",X66="Pending"),"",IF(X66="Rejected",0,IF(AND(U66="Ya",V66="Ya",W66="Ya"),1,"")))</x:f>
      </x:c>
      <x:c r="AA66" s="32"/>
      <x:c r="AB66" s="32"/>
      <x:c r="AC66" s="32"/>
      <x:c r="AD66" s="32"/>
      <x:c r="AE66" s="32"/>
      <x:c r="AF66" s="32"/>
      <x:c r="AG66" s="33" t="str">
        <x:f>IF(OR(AE66="",AF66=""),"",IF(AE66="Positif",IF(AF66="Positif","TP","FN"),IF(AF66="Positif","FP","TN")))</x:f>
      </x:c>
    </x:row>
    <x:row r="67">
      <x:c r="A67" s="32"/>
      <x:c r="B67" s="32"/>
      <x:c r="C67" s="32"/>
      <x:c r="D67" s="35"/>
      <x:c r="E67" s="32"/>
      <x:c r="F67" s="32"/>
      <x:c r="G67" s="32"/>
      <x:c r="H67" s="32"/>
      <x:c r="I67" s="32"/>
      <x:c r="J67" s="32"/>
      <x:c r="K67" s="32"/>
      <x:c r="L67" s="32"/>
      <x:c r="M67" s="32"/>
      <x:c r="N67" s="37"/>
      <x:c r="O67" s="32"/>
      <x:c r="P67" s="40"/>
      <x:c r="Q67" s="40"/>
      <x:c r="R67" s="41" t="str">
        <x:f>IF(OR(P67="",Q67=""),"",P67-Q67)</x:f>
      </x:c>
      <x:c r="S67" s="32"/>
      <x:c r="T67" s="32"/>
      <x:c r="U67" s="32"/>
      <x:c r="V67" s="32"/>
      <x:c r="W67" s="32"/>
      <x:c r="X67" s="32"/>
      <x:c r="Y67" s="43" t="str">
        <x:f>IF(OR(X67="",X67="Pending"),"",IF(X67="Rejected",0,IF(AND(U67="Ya",V67="Ya",W67="Ya"),1,"")))</x:f>
      </x:c>
      <x:c r="AA67" s="32"/>
      <x:c r="AB67" s="32"/>
      <x:c r="AC67" s="32"/>
      <x:c r="AD67" s="32"/>
      <x:c r="AE67" s="32"/>
      <x:c r="AF67" s="32"/>
      <x:c r="AG67" s="33" t="str">
        <x:f>IF(OR(AE67="",AF67=""),"",IF(AE67="Positif",IF(AF67="Positif","TP","FN"),IF(AF67="Positif","FP","TN")))</x:f>
      </x:c>
    </x:row>
    <x:row r="68">
      <x:c r="A68" s="32"/>
      <x:c r="B68" s="32"/>
      <x:c r="C68" s="32"/>
      <x:c r="D68" s="35"/>
      <x:c r="E68" s="32"/>
      <x:c r="F68" s="32"/>
      <x:c r="G68" s="32"/>
      <x:c r="H68" s="32"/>
      <x:c r="I68" s="32"/>
      <x:c r="J68" s="32"/>
      <x:c r="K68" s="32"/>
      <x:c r="L68" s="32"/>
      <x:c r="M68" s="32"/>
      <x:c r="N68" s="37"/>
      <x:c r="O68" s="32"/>
      <x:c r="P68" s="40"/>
      <x:c r="Q68" s="40"/>
      <x:c r="R68" s="41" t="str">
        <x:f>IF(OR(P68="",Q68=""),"",P68-Q68)</x:f>
      </x:c>
      <x:c r="S68" s="32"/>
      <x:c r="T68" s="32"/>
      <x:c r="U68" s="32"/>
      <x:c r="V68" s="32"/>
      <x:c r="W68" s="32"/>
      <x:c r="X68" s="32"/>
      <x:c r="Y68" s="43" t="str">
        <x:f>IF(OR(X68="",X68="Pending"),"",IF(X68="Rejected",0,IF(AND(U68="Ya",V68="Ya",W68="Ya"),1,"")))</x:f>
      </x:c>
      <x:c r="AA68" s="32"/>
      <x:c r="AB68" s="32"/>
      <x:c r="AC68" s="32"/>
      <x:c r="AD68" s="32"/>
      <x:c r="AE68" s="32"/>
      <x:c r="AF68" s="32"/>
      <x:c r="AG68" s="33" t="str">
        <x:f>IF(OR(AE68="",AF68=""),"",IF(AE68="Positif",IF(AF68="Positif","TP","FN"),IF(AF68="Positif","FP","TN")))</x:f>
      </x:c>
    </x:row>
    <x:row r="69">
      <x:c r="A69" s="32"/>
      <x:c r="B69" s="32"/>
      <x:c r="C69" s="32"/>
      <x:c r="D69" s="35"/>
      <x:c r="E69" s="32"/>
      <x:c r="F69" s="32"/>
      <x:c r="G69" s="32"/>
      <x:c r="H69" s="32"/>
      <x:c r="I69" s="32"/>
      <x:c r="J69" s="32"/>
      <x:c r="K69" s="32"/>
      <x:c r="L69" s="32"/>
      <x:c r="M69" s="32"/>
      <x:c r="N69" s="37"/>
      <x:c r="O69" s="32"/>
      <x:c r="P69" s="40"/>
      <x:c r="Q69" s="40"/>
      <x:c r="R69" s="41" t="str">
        <x:f>IF(OR(P69="",Q69=""),"",P69-Q69)</x:f>
      </x:c>
      <x:c r="S69" s="32"/>
      <x:c r="T69" s="32"/>
      <x:c r="U69" s="32"/>
      <x:c r="V69" s="32"/>
      <x:c r="W69" s="32"/>
      <x:c r="X69" s="32"/>
      <x:c r="Y69" s="43" t="str">
        <x:f>IF(OR(X69="",X69="Pending"),"",IF(X69="Rejected",0,IF(AND(U69="Ya",V69="Ya",W69="Ya"),1,"")))</x:f>
      </x:c>
      <x:c r="AA69" s="32"/>
      <x:c r="AB69" s="32"/>
      <x:c r="AC69" s="32"/>
      <x:c r="AD69" s="32"/>
      <x:c r="AE69" s="32"/>
      <x:c r="AF69" s="32"/>
      <x:c r="AG69" s="33" t="str">
        <x:f>IF(OR(AE69="",AF69=""),"",IF(AE69="Positif",IF(AF69="Positif","TP","FN"),IF(AF69="Positif","FP","TN")))</x:f>
      </x:c>
    </x:row>
    <x:row r="70">
      <x:c r="A70" s="32"/>
      <x:c r="B70" s="32"/>
      <x:c r="C70" s="32"/>
      <x:c r="D70" s="35"/>
      <x:c r="E70" s="32"/>
      <x:c r="F70" s="32"/>
      <x:c r="G70" s="32"/>
      <x:c r="H70" s="32"/>
      <x:c r="I70" s="32"/>
      <x:c r="J70" s="32"/>
      <x:c r="K70" s="32"/>
      <x:c r="L70" s="32"/>
      <x:c r="M70" s="32"/>
      <x:c r="N70" s="37"/>
      <x:c r="O70" s="32"/>
      <x:c r="P70" s="40"/>
      <x:c r="Q70" s="40"/>
      <x:c r="R70" s="41" t="str">
        <x:f>IF(OR(P70="",Q70=""),"",P70-Q70)</x:f>
      </x:c>
      <x:c r="S70" s="32"/>
      <x:c r="T70" s="32"/>
      <x:c r="U70" s="32"/>
      <x:c r="V70" s="32"/>
      <x:c r="W70" s="32"/>
      <x:c r="X70" s="32"/>
      <x:c r="Y70" s="43" t="str">
        <x:f>IF(OR(X70="",X70="Pending"),"",IF(X70="Rejected",0,IF(AND(U70="Ya",V70="Ya",W70="Ya"),1,"")))</x:f>
      </x:c>
      <x:c r="AA70" s="32"/>
      <x:c r="AB70" s="32"/>
      <x:c r="AC70" s="32"/>
      <x:c r="AD70" s="32"/>
      <x:c r="AE70" s="32"/>
      <x:c r="AF70" s="32"/>
      <x:c r="AG70" s="33" t="str">
        <x:f>IF(OR(AE70="",AF70=""),"",IF(AE70="Positif",IF(AF70="Positif","TP","FN"),IF(AF70="Positif","FP","TN")))</x:f>
      </x:c>
    </x:row>
    <x:row r="71">
      <x:c r="A71" s="32"/>
      <x:c r="B71" s="32"/>
      <x:c r="C71" s="32"/>
      <x:c r="D71" s="35"/>
      <x:c r="E71" s="32"/>
      <x:c r="F71" s="32"/>
      <x:c r="G71" s="32"/>
      <x:c r="H71" s="32"/>
      <x:c r="I71" s="32"/>
      <x:c r="J71" s="32"/>
      <x:c r="K71" s="32"/>
      <x:c r="L71" s="32"/>
      <x:c r="M71" s="32"/>
      <x:c r="N71" s="37"/>
      <x:c r="O71" s="32"/>
      <x:c r="P71" s="40"/>
      <x:c r="Q71" s="40"/>
      <x:c r="R71" s="41" t="str">
        <x:f>IF(OR(P71="",Q71=""),"",P71-Q71)</x:f>
      </x:c>
      <x:c r="S71" s="32"/>
      <x:c r="T71" s="32"/>
      <x:c r="U71" s="32"/>
      <x:c r="V71" s="32"/>
      <x:c r="W71" s="32"/>
      <x:c r="X71" s="32"/>
      <x:c r="Y71" s="43" t="str">
        <x:f>IF(OR(X71="",X71="Pending"),"",IF(X71="Rejected",0,IF(AND(U71="Ya",V71="Ya",W71="Ya"),1,"")))</x:f>
      </x:c>
      <x:c r="AA71" s="32"/>
      <x:c r="AB71" s="32"/>
      <x:c r="AC71" s="32"/>
      <x:c r="AD71" s="32"/>
      <x:c r="AE71" s="32"/>
      <x:c r="AF71" s="32"/>
      <x:c r="AG71" s="33" t="str">
        <x:f>IF(OR(AE71="",AF71=""),"",IF(AE71="Positif",IF(AF71="Positif","TP","FN"),IF(AF71="Positif","FP","TN")))</x:f>
      </x:c>
    </x:row>
    <x:row r="72">
      <x:c r="A72" s="32"/>
      <x:c r="B72" s="32"/>
      <x:c r="C72" s="32"/>
      <x:c r="D72" s="35"/>
      <x:c r="E72" s="32"/>
      <x:c r="F72" s="32"/>
      <x:c r="G72" s="32"/>
      <x:c r="H72" s="32"/>
      <x:c r="I72" s="32"/>
      <x:c r="J72" s="32"/>
      <x:c r="K72" s="32"/>
      <x:c r="L72" s="32"/>
      <x:c r="M72" s="32"/>
      <x:c r="N72" s="37"/>
      <x:c r="O72" s="32"/>
      <x:c r="P72" s="40"/>
      <x:c r="Q72" s="40"/>
      <x:c r="R72" s="41" t="str">
        <x:f>IF(OR(P72="",Q72=""),"",P72-Q72)</x:f>
      </x:c>
      <x:c r="S72" s="32"/>
      <x:c r="T72" s="32"/>
      <x:c r="U72" s="32"/>
      <x:c r="V72" s="32"/>
      <x:c r="W72" s="32"/>
      <x:c r="X72" s="32"/>
      <x:c r="Y72" s="43" t="str">
        <x:f>IF(OR(X72="",X72="Pending"),"",IF(X72="Rejected",0,IF(AND(U72="Ya",V72="Ya",W72="Ya"),1,"")))</x:f>
      </x:c>
      <x:c r="AA72" s="32"/>
      <x:c r="AB72" s="32"/>
      <x:c r="AC72" s="32"/>
      <x:c r="AD72" s="32"/>
      <x:c r="AE72" s="32"/>
      <x:c r="AF72" s="32"/>
      <x:c r="AG72" s="33" t="str">
        <x:f>IF(OR(AE72="",AF72=""),"",IF(AE72="Positif",IF(AF72="Positif","TP","FN"),IF(AF72="Positif","FP","TN")))</x:f>
      </x:c>
    </x:row>
    <x:row r="73">
      <x:c r="A73" s="32"/>
      <x:c r="B73" s="32"/>
      <x:c r="C73" s="32"/>
      <x:c r="D73" s="35"/>
      <x:c r="E73" s="32"/>
      <x:c r="F73" s="32"/>
      <x:c r="G73" s="32"/>
      <x:c r="H73" s="32"/>
      <x:c r="I73" s="32"/>
      <x:c r="J73" s="32"/>
      <x:c r="K73" s="32"/>
      <x:c r="L73" s="32"/>
      <x:c r="M73" s="32"/>
      <x:c r="N73" s="37"/>
      <x:c r="O73" s="32"/>
      <x:c r="P73" s="40"/>
      <x:c r="Q73" s="40"/>
      <x:c r="R73" s="41" t="str">
        <x:f>IF(OR(P73="",Q73=""),"",P73-Q73)</x:f>
      </x:c>
      <x:c r="S73" s="32"/>
      <x:c r="T73" s="32"/>
      <x:c r="U73" s="32"/>
      <x:c r="V73" s="32"/>
      <x:c r="W73" s="32"/>
      <x:c r="X73" s="32"/>
      <x:c r="Y73" s="43" t="str">
        <x:f>IF(OR(X73="",X73="Pending"),"",IF(X73="Rejected",0,IF(AND(U73="Ya",V73="Ya",W73="Ya"),1,"")))</x:f>
      </x:c>
      <x:c r="AA73" s="32"/>
      <x:c r="AB73" s="32"/>
      <x:c r="AC73" s="32"/>
      <x:c r="AD73" s="32"/>
      <x:c r="AE73" s="32"/>
      <x:c r="AF73" s="32"/>
      <x:c r="AG73" s="33" t="str">
        <x:f>IF(OR(AE73="",AF73=""),"",IF(AE73="Positif",IF(AF73="Positif","TP","FN"),IF(AF73="Positif","FP","TN")))</x:f>
      </x:c>
    </x:row>
    <x:row r="74">
      <x:c r="A74" s="32"/>
      <x:c r="B74" s="32"/>
      <x:c r="C74" s="32"/>
      <x:c r="D74" s="35"/>
      <x:c r="E74" s="32"/>
      <x:c r="F74" s="32"/>
      <x:c r="G74" s="32"/>
      <x:c r="H74" s="32"/>
      <x:c r="I74" s="32"/>
      <x:c r="J74" s="32"/>
      <x:c r="K74" s="32"/>
      <x:c r="L74" s="32"/>
      <x:c r="M74" s="32"/>
      <x:c r="N74" s="37"/>
      <x:c r="O74" s="32"/>
      <x:c r="P74" s="40"/>
      <x:c r="Q74" s="40"/>
      <x:c r="R74" s="41" t="str">
        <x:f>IF(OR(P74="",Q74=""),"",P74-Q74)</x:f>
      </x:c>
      <x:c r="S74" s="32"/>
      <x:c r="T74" s="32"/>
      <x:c r="U74" s="32"/>
      <x:c r="V74" s="32"/>
      <x:c r="W74" s="32"/>
      <x:c r="X74" s="32"/>
      <x:c r="Y74" s="43" t="str">
        <x:f>IF(OR(X74="",X74="Pending"),"",IF(X74="Rejected",0,IF(AND(U74="Ya",V74="Ya",W74="Ya"),1,"")))</x:f>
      </x:c>
      <x:c r="AA74" s="32"/>
      <x:c r="AB74" s="32"/>
      <x:c r="AC74" s="32"/>
      <x:c r="AD74" s="32"/>
      <x:c r="AE74" s="32"/>
      <x:c r="AF74" s="32"/>
      <x:c r="AG74" s="33" t="str">
        <x:f>IF(OR(AE74="",AF74=""),"",IF(AE74="Positif",IF(AF74="Positif","TP","FN"),IF(AF74="Positif","FP","TN")))</x:f>
      </x:c>
    </x:row>
    <x:row r="75">
      <x:c r="A75" s="32"/>
      <x:c r="B75" s="32"/>
      <x:c r="C75" s="32"/>
      <x:c r="D75" s="35"/>
      <x:c r="E75" s="32"/>
      <x:c r="F75" s="32"/>
      <x:c r="G75" s="32"/>
      <x:c r="H75" s="32"/>
      <x:c r="I75" s="32"/>
      <x:c r="J75" s="32"/>
      <x:c r="K75" s="32"/>
      <x:c r="L75" s="32"/>
      <x:c r="M75" s="32"/>
      <x:c r="N75" s="37"/>
      <x:c r="O75" s="32"/>
      <x:c r="P75" s="40"/>
      <x:c r="Q75" s="40"/>
      <x:c r="R75" s="41" t="str">
        <x:f>IF(OR(P75="",Q75=""),"",P75-Q75)</x:f>
      </x:c>
      <x:c r="S75" s="32"/>
      <x:c r="T75" s="32"/>
      <x:c r="U75" s="32"/>
      <x:c r="V75" s="32"/>
      <x:c r="W75" s="32"/>
      <x:c r="X75" s="32"/>
      <x:c r="Y75" s="43" t="str">
        <x:f>IF(OR(X75="",X75="Pending"),"",IF(X75="Rejected",0,IF(AND(U75="Ya",V75="Ya",W75="Ya"),1,"")))</x:f>
      </x:c>
      <x:c r="AA75" s="32"/>
      <x:c r="AB75" s="32"/>
      <x:c r="AC75" s="32"/>
      <x:c r="AD75" s="32"/>
      <x:c r="AE75" s="32"/>
      <x:c r="AF75" s="32"/>
      <x:c r="AG75" s="33" t="str">
        <x:f>IF(OR(AE75="",AF75=""),"",IF(AE75="Positif",IF(AF75="Positif","TP","FN"),IF(AF75="Positif","FP","TN")))</x:f>
      </x:c>
    </x:row>
    <x:row r="76">
      <x:c r="A76" s="32"/>
      <x:c r="B76" s="32"/>
      <x:c r="C76" s="32"/>
      <x:c r="D76" s="35"/>
      <x:c r="E76" s="32"/>
      <x:c r="F76" s="32"/>
      <x:c r="G76" s="32"/>
      <x:c r="H76" s="32"/>
      <x:c r="I76" s="32"/>
      <x:c r="J76" s="32"/>
      <x:c r="K76" s="32"/>
      <x:c r="L76" s="32"/>
      <x:c r="M76" s="32"/>
      <x:c r="N76" s="37"/>
      <x:c r="O76" s="32"/>
      <x:c r="P76" s="40"/>
      <x:c r="Q76" s="40"/>
      <x:c r="R76" s="41" t="str">
        <x:f>IF(OR(P76="",Q76=""),"",P76-Q76)</x:f>
      </x:c>
      <x:c r="S76" s="32"/>
      <x:c r="T76" s="32"/>
      <x:c r="U76" s="32"/>
      <x:c r="V76" s="32"/>
      <x:c r="W76" s="32"/>
      <x:c r="X76" s="32"/>
      <x:c r="Y76" s="43" t="str">
        <x:f>IF(OR(X76="",X76="Pending"),"",IF(X76="Rejected",0,IF(AND(U76="Ya",V76="Ya",W76="Ya"),1,"")))</x:f>
      </x:c>
      <x:c r="AA76" s="32"/>
      <x:c r="AB76" s="32"/>
      <x:c r="AC76" s="32"/>
      <x:c r="AD76" s="32"/>
      <x:c r="AE76" s="32"/>
      <x:c r="AF76" s="32"/>
      <x:c r="AG76" s="33" t="str">
        <x:f>IF(OR(AE76="",AF76=""),"",IF(AE76="Positif",IF(AF76="Positif","TP","FN"),IF(AF76="Positif","FP","TN")))</x:f>
      </x:c>
    </x:row>
    <x:row r="77">
      <x:c r="A77" s="32"/>
      <x:c r="B77" s="32"/>
      <x:c r="C77" s="32"/>
      <x:c r="D77" s="35"/>
      <x:c r="E77" s="32"/>
      <x:c r="F77" s="32"/>
      <x:c r="G77" s="32"/>
      <x:c r="H77" s="32"/>
      <x:c r="I77" s="32"/>
      <x:c r="J77" s="32"/>
      <x:c r="K77" s="32"/>
      <x:c r="L77" s="32"/>
      <x:c r="M77" s="32"/>
      <x:c r="N77" s="37"/>
      <x:c r="O77" s="32"/>
      <x:c r="P77" s="40"/>
      <x:c r="Q77" s="40"/>
      <x:c r="R77" s="41" t="str">
        <x:f>IF(OR(P77="",Q77=""),"",P77-Q77)</x:f>
      </x:c>
      <x:c r="S77" s="32"/>
      <x:c r="T77" s="32"/>
      <x:c r="U77" s="32"/>
      <x:c r="V77" s="32"/>
      <x:c r="W77" s="32"/>
      <x:c r="X77" s="32"/>
      <x:c r="Y77" s="43" t="str">
        <x:f>IF(OR(X77="",X77="Pending"),"",IF(X77="Rejected",0,IF(AND(U77="Ya",V77="Ya",W77="Ya"),1,"")))</x:f>
      </x:c>
      <x:c r="AA77" s="32"/>
      <x:c r="AB77" s="32"/>
      <x:c r="AC77" s="32"/>
      <x:c r="AD77" s="32"/>
      <x:c r="AE77" s="32"/>
      <x:c r="AF77" s="32"/>
      <x:c r="AG77" s="33" t="str">
        <x:f>IF(OR(AE77="",AF77=""),"",IF(AE77="Positif",IF(AF77="Positif","TP","FN"),IF(AF77="Positif","FP","TN")))</x:f>
      </x:c>
    </x:row>
    <x:row r="78">
      <x:c r="A78" s="32"/>
      <x:c r="B78" s="32"/>
      <x:c r="C78" s="32"/>
      <x:c r="D78" s="35"/>
      <x:c r="E78" s="32"/>
      <x:c r="F78" s="32"/>
      <x:c r="G78" s="32"/>
      <x:c r="H78" s="32"/>
      <x:c r="I78" s="32"/>
      <x:c r="J78" s="32"/>
      <x:c r="K78" s="32"/>
      <x:c r="L78" s="32"/>
      <x:c r="M78" s="32"/>
      <x:c r="N78" s="37"/>
      <x:c r="O78" s="32"/>
      <x:c r="P78" s="40"/>
      <x:c r="Q78" s="40"/>
      <x:c r="R78" s="41" t="str">
        <x:f>IF(OR(P78="",Q78=""),"",P78-Q78)</x:f>
      </x:c>
      <x:c r="S78" s="32"/>
      <x:c r="T78" s="32"/>
      <x:c r="U78" s="32"/>
      <x:c r="V78" s="32"/>
      <x:c r="W78" s="32"/>
      <x:c r="X78" s="32"/>
      <x:c r="Y78" s="43" t="str">
        <x:f>IF(OR(X78="",X78="Pending"),"",IF(X78="Rejected",0,IF(AND(U78="Ya",V78="Ya",W78="Ya"),1,"")))</x:f>
      </x:c>
      <x:c r="AA78" s="32"/>
      <x:c r="AB78" s="32"/>
      <x:c r="AC78" s="32"/>
      <x:c r="AD78" s="32"/>
      <x:c r="AE78" s="32"/>
      <x:c r="AF78" s="32"/>
      <x:c r="AG78" s="33" t="str">
        <x:f>IF(OR(AE78="",AF78=""),"",IF(AE78="Positif",IF(AF78="Positif","TP","FN"),IF(AF78="Positif","FP","TN")))</x:f>
      </x:c>
    </x:row>
    <x:row r="79">
      <x:c r="A79" s="32"/>
      <x:c r="B79" s="32"/>
      <x:c r="C79" s="32"/>
      <x:c r="D79" s="35"/>
      <x:c r="E79" s="32"/>
      <x:c r="F79" s="32"/>
      <x:c r="G79" s="32"/>
      <x:c r="H79" s="32"/>
      <x:c r="I79" s="32"/>
      <x:c r="J79" s="32"/>
      <x:c r="K79" s="32"/>
      <x:c r="L79" s="32"/>
      <x:c r="M79" s="32"/>
      <x:c r="N79" s="37"/>
      <x:c r="O79" s="32"/>
      <x:c r="P79" s="40"/>
      <x:c r="Q79" s="40"/>
      <x:c r="R79" s="41" t="str">
        <x:f>IF(OR(P79="",Q79=""),"",P79-Q79)</x:f>
      </x:c>
      <x:c r="S79" s="32"/>
      <x:c r="T79" s="32"/>
      <x:c r="U79" s="32"/>
      <x:c r="V79" s="32"/>
      <x:c r="W79" s="32"/>
      <x:c r="X79" s="32"/>
      <x:c r="Y79" s="43" t="str">
        <x:f>IF(OR(X79="",X79="Pending"),"",IF(X79="Rejected",0,IF(AND(U79="Ya",V79="Ya",W79="Ya"),1,"")))</x:f>
      </x:c>
      <x:c r="AA79" s="32"/>
      <x:c r="AB79" s="32"/>
      <x:c r="AC79" s="32"/>
      <x:c r="AD79" s="32"/>
      <x:c r="AE79" s="32"/>
      <x:c r="AF79" s="32"/>
      <x:c r="AG79" s="33" t="str">
        <x:f>IF(OR(AE79="",AF79=""),"",IF(AE79="Positif",IF(AF79="Positif","TP","FN"),IF(AF79="Positif","FP","TN")))</x:f>
      </x:c>
    </x:row>
    <x:row r="80">
      <x:c r="A80" s="32"/>
      <x:c r="B80" s="32"/>
      <x:c r="C80" s="32"/>
      <x:c r="D80" s="35"/>
      <x:c r="E80" s="32"/>
      <x:c r="F80" s="32"/>
      <x:c r="G80" s="32"/>
      <x:c r="H80" s="32"/>
      <x:c r="I80" s="32"/>
      <x:c r="J80" s="32"/>
      <x:c r="K80" s="32"/>
      <x:c r="L80" s="32"/>
      <x:c r="M80" s="32"/>
      <x:c r="N80" s="37"/>
      <x:c r="O80" s="32"/>
      <x:c r="P80" s="40"/>
      <x:c r="Q80" s="40"/>
      <x:c r="R80" s="41" t="str">
        <x:f>IF(OR(P80="",Q80=""),"",P80-Q80)</x:f>
      </x:c>
      <x:c r="S80" s="32"/>
      <x:c r="T80" s="32"/>
      <x:c r="U80" s="32"/>
      <x:c r="V80" s="32"/>
      <x:c r="W80" s="32"/>
      <x:c r="X80" s="32"/>
      <x:c r="Y80" s="43" t="str">
        <x:f>IF(OR(X80="",X80="Pending"),"",IF(X80="Rejected",0,IF(AND(U80="Ya",V80="Ya",W80="Ya"),1,"")))</x:f>
      </x:c>
      <x:c r="AA80" s="32"/>
      <x:c r="AB80" s="32"/>
      <x:c r="AC80" s="32"/>
      <x:c r="AD80" s="32"/>
      <x:c r="AE80" s="32"/>
      <x:c r="AF80" s="32"/>
      <x:c r="AG80" s="33" t="str">
        <x:f>IF(OR(AE80="",AF80=""),"",IF(AE80="Positif",IF(AF80="Positif","TP","FN"),IF(AF80="Positif","FP","TN")))</x:f>
      </x:c>
    </x:row>
    <x:row r="81">
      <x:c r="A81" s="32"/>
      <x:c r="B81" s="32"/>
      <x:c r="C81" s="32"/>
      <x:c r="D81" s="35"/>
      <x:c r="E81" s="32"/>
      <x:c r="F81" s="32"/>
      <x:c r="G81" s="32"/>
      <x:c r="H81" s="32"/>
      <x:c r="I81" s="32"/>
      <x:c r="J81" s="32"/>
      <x:c r="K81" s="32"/>
      <x:c r="L81" s="32"/>
      <x:c r="M81" s="32"/>
      <x:c r="N81" s="37"/>
      <x:c r="O81" s="32"/>
      <x:c r="P81" s="40"/>
      <x:c r="Q81" s="40"/>
      <x:c r="R81" s="41" t="str">
        <x:f>IF(OR(P81="",Q81=""),"",P81-Q81)</x:f>
      </x:c>
      <x:c r="S81" s="32"/>
      <x:c r="T81" s="32"/>
      <x:c r="U81" s="32"/>
      <x:c r="V81" s="32"/>
      <x:c r="W81" s="32"/>
      <x:c r="X81" s="32"/>
      <x:c r="Y81" s="43" t="str">
        <x:f>IF(OR(X81="",X81="Pending"),"",IF(X81="Rejected",0,IF(AND(U81="Ya",V81="Ya",W81="Ya"),1,"")))</x:f>
      </x:c>
      <x:c r="AA81" s="32"/>
      <x:c r="AB81" s="32"/>
      <x:c r="AC81" s="32"/>
      <x:c r="AD81" s="32"/>
      <x:c r="AE81" s="32"/>
      <x:c r="AF81" s="32"/>
      <x:c r="AG81" s="33" t="str">
        <x:f>IF(OR(AE81="",AF81=""),"",IF(AE81="Positif",IF(AF81="Positif","TP","FN"),IF(AF81="Positif","FP","TN")))</x:f>
      </x:c>
    </x:row>
    <x:row r="82">
      <x:c r="A82" s="32"/>
      <x:c r="B82" s="32"/>
      <x:c r="C82" s="32"/>
      <x:c r="D82" s="35"/>
      <x:c r="E82" s="32"/>
      <x:c r="F82" s="32"/>
      <x:c r="G82" s="32"/>
      <x:c r="H82" s="32"/>
      <x:c r="I82" s="32"/>
      <x:c r="J82" s="32"/>
      <x:c r="K82" s="32"/>
      <x:c r="L82" s="32"/>
      <x:c r="M82" s="32"/>
      <x:c r="N82" s="37"/>
      <x:c r="O82" s="32"/>
      <x:c r="P82" s="40"/>
      <x:c r="Q82" s="40"/>
      <x:c r="R82" s="41" t="str">
        <x:f>IF(OR(P82="",Q82=""),"",P82-Q82)</x:f>
      </x:c>
      <x:c r="S82" s="32"/>
      <x:c r="T82" s="32"/>
      <x:c r="U82" s="32"/>
      <x:c r="V82" s="32"/>
      <x:c r="W82" s="32"/>
      <x:c r="X82" s="32"/>
      <x:c r="Y82" s="43" t="str">
        <x:f>IF(OR(X82="",X82="Pending"),"",IF(X82="Rejected",0,IF(AND(U82="Ya",V82="Ya",W82="Ya"),1,"")))</x:f>
      </x:c>
      <x:c r="AA82" s="32"/>
      <x:c r="AB82" s="32"/>
      <x:c r="AC82" s="32"/>
      <x:c r="AD82" s="32"/>
      <x:c r="AE82" s="32"/>
      <x:c r="AF82" s="32"/>
      <x:c r="AG82" s="33" t="str">
        <x:f>IF(OR(AE82="",AF82=""),"",IF(AE82="Positif",IF(AF82="Positif","TP","FN"),IF(AF82="Positif","FP","TN")))</x:f>
      </x:c>
    </x:row>
    <x:row r="83">
      <x:c r="A83" s="32"/>
      <x:c r="B83" s="32"/>
      <x:c r="C83" s="32"/>
      <x:c r="D83" s="35"/>
      <x:c r="E83" s="32"/>
      <x:c r="F83" s="32"/>
      <x:c r="G83" s="32"/>
      <x:c r="H83" s="32"/>
      <x:c r="I83" s="32"/>
      <x:c r="J83" s="32"/>
      <x:c r="K83" s="32"/>
      <x:c r="L83" s="32"/>
      <x:c r="M83" s="32"/>
      <x:c r="N83" s="37"/>
      <x:c r="O83" s="32"/>
      <x:c r="P83" s="40"/>
      <x:c r="Q83" s="40"/>
      <x:c r="R83" s="41" t="str">
        <x:f>IF(OR(P83="",Q83=""),"",P83-Q83)</x:f>
      </x:c>
      <x:c r="S83" s="32"/>
      <x:c r="T83" s="32"/>
      <x:c r="U83" s="32"/>
      <x:c r="V83" s="32"/>
      <x:c r="W83" s="32"/>
      <x:c r="X83" s="32"/>
      <x:c r="Y83" s="43" t="str">
        <x:f>IF(OR(X83="",X83="Pending"),"",IF(X83="Rejected",0,IF(AND(U83="Ya",V83="Ya",W83="Ya"),1,"")))</x:f>
      </x:c>
      <x:c r="AA83" s="32"/>
      <x:c r="AB83" s="32"/>
      <x:c r="AC83" s="32"/>
      <x:c r="AD83" s="32"/>
      <x:c r="AE83" s="32"/>
      <x:c r="AF83" s="32"/>
      <x:c r="AG83" s="33" t="str">
        <x:f>IF(OR(AE83="",AF83=""),"",IF(AE83="Positif",IF(AF83="Positif","TP","FN"),IF(AF83="Positif","FP","TN")))</x:f>
      </x:c>
    </x:row>
    <x:row r="84">
      <x:c r="A84" s="32"/>
      <x:c r="B84" s="32"/>
      <x:c r="C84" s="32"/>
      <x:c r="D84" s="35"/>
      <x:c r="E84" s="32"/>
      <x:c r="F84" s="32"/>
      <x:c r="G84" s="32"/>
      <x:c r="H84" s="32"/>
      <x:c r="I84" s="32"/>
      <x:c r="J84" s="32"/>
      <x:c r="K84" s="32"/>
      <x:c r="L84" s="32"/>
      <x:c r="M84" s="32"/>
      <x:c r="N84" s="37"/>
      <x:c r="O84" s="32"/>
      <x:c r="P84" s="40"/>
      <x:c r="Q84" s="40"/>
      <x:c r="R84" s="41" t="str">
        <x:f>IF(OR(P84="",Q84=""),"",P84-Q84)</x:f>
      </x:c>
      <x:c r="S84" s="32"/>
      <x:c r="T84" s="32"/>
      <x:c r="U84" s="32"/>
      <x:c r="V84" s="32"/>
      <x:c r="W84" s="32"/>
      <x:c r="X84" s="32"/>
      <x:c r="Y84" s="43" t="str">
        <x:f>IF(OR(X84="",X84="Pending"),"",IF(X84="Rejected",0,IF(AND(U84="Ya",V84="Ya",W84="Ya"),1,"")))</x:f>
      </x:c>
      <x:c r="AA84" s="32"/>
      <x:c r="AB84" s="32"/>
      <x:c r="AC84" s="32"/>
      <x:c r="AD84" s="32"/>
      <x:c r="AE84" s="32"/>
      <x:c r="AF84" s="32"/>
      <x:c r="AG84" s="33" t="str">
        <x:f>IF(OR(AE84="",AF84=""),"",IF(AE84="Positif",IF(AF84="Positif","TP","FN"),IF(AF84="Positif","FP","TN")))</x:f>
      </x:c>
    </x:row>
    <x:row r="85">
      <x:c r="A85" s="32"/>
      <x:c r="B85" s="32"/>
      <x:c r="C85" s="32"/>
      <x:c r="D85" s="35"/>
      <x:c r="E85" s="32"/>
      <x:c r="F85" s="32"/>
      <x:c r="G85" s="32"/>
      <x:c r="H85" s="32"/>
      <x:c r="I85" s="32"/>
      <x:c r="J85" s="32"/>
      <x:c r="K85" s="32"/>
      <x:c r="L85" s="32"/>
      <x:c r="M85" s="32"/>
      <x:c r="N85" s="37"/>
      <x:c r="O85" s="32"/>
      <x:c r="P85" s="40"/>
      <x:c r="Q85" s="40"/>
      <x:c r="R85" s="41" t="str">
        <x:f>IF(OR(P85="",Q85=""),"",P85-Q85)</x:f>
      </x:c>
      <x:c r="S85" s="32"/>
      <x:c r="T85" s="32"/>
      <x:c r="U85" s="32"/>
      <x:c r="V85" s="32"/>
      <x:c r="W85" s="32"/>
      <x:c r="X85" s="32"/>
      <x:c r="Y85" s="43" t="str">
        <x:f>IF(OR(X85="",X85="Pending"),"",IF(X85="Rejected",0,IF(AND(U85="Ya",V85="Ya",W85="Ya"),1,"")))</x:f>
      </x:c>
      <x:c r="AA85" s="32"/>
      <x:c r="AB85" s="32"/>
      <x:c r="AC85" s="32"/>
      <x:c r="AD85" s="32"/>
      <x:c r="AE85" s="32"/>
      <x:c r="AF85" s="32"/>
      <x:c r="AG85" s="33" t="str">
        <x:f>IF(OR(AE85="",AF85=""),"",IF(AE85="Positif",IF(AF85="Positif","TP","FN"),IF(AF85="Positif","FP","TN")))</x:f>
      </x:c>
    </x:row>
    <x:row r="86">
      <x:c r="A86" s="32"/>
      <x:c r="B86" s="32"/>
      <x:c r="C86" s="32"/>
      <x:c r="D86" s="35"/>
      <x:c r="E86" s="32"/>
      <x:c r="F86" s="32"/>
      <x:c r="G86" s="32"/>
      <x:c r="H86" s="32"/>
      <x:c r="I86" s="32"/>
      <x:c r="J86" s="32"/>
      <x:c r="K86" s="32"/>
      <x:c r="L86" s="32"/>
      <x:c r="M86" s="32"/>
      <x:c r="N86" s="37"/>
      <x:c r="O86" s="32"/>
      <x:c r="P86" s="40"/>
      <x:c r="Q86" s="40"/>
      <x:c r="R86" s="41" t="str">
        <x:f>IF(OR(P86="",Q86=""),"",P86-Q86)</x:f>
      </x:c>
      <x:c r="S86" s="32"/>
      <x:c r="T86" s="32"/>
      <x:c r="U86" s="32"/>
      <x:c r="V86" s="32"/>
      <x:c r="W86" s="32"/>
      <x:c r="X86" s="32"/>
      <x:c r="Y86" s="43" t="str">
        <x:f>IF(OR(X86="",X86="Pending"),"",IF(X86="Rejected",0,IF(AND(U86="Ya",V86="Ya",W86="Ya"),1,"")))</x:f>
      </x:c>
      <x:c r="AA86" s="32"/>
      <x:c r="AB86" s="32"/>
      <x:c r="AC86" s="32"/>
      <x:c r="AD86" s="32"/>
      <x:c r="AE86" s="32"/>
      <x:c r="AF86" s="32"/>
      <x:c r="AG86" s="33" t="str">
        <x:f>IF(OR(AE86="",AF86=""),"",IF(AE86="Positif",IF(AF86="Positif","TP","FN"),IF(AF86="Positif","FP","TN")))</x:f>
      </x:c>
    </x:row>
    <x:row r="87">
      <x:c r="A87" s="32"/>
      <x:c r="B87" s="32"/>
      <x:c r="C87" s="32"/>
      <x:c r="D87" s="35"/>
      <x:c r="E87" s="32"/>
      <x:c r="F87" s="32"/>
      <x:c r="G87" s="32"/>
      <x:c r="H87" s="32"/>
      <x:c r="I87" s="32"/>
      <x:c r="J87" s="32"/>
      <x:c r="K87" s="32"/>
      <x:c r="L87" s="32"/>
      <x:c r="M87" s="32"/>
      <x:c r="N87" s="37"/>
      <x:c r="O87" s="32"/>
      <x:c r="P87" s="40"/>
      <x:c r="Q87" s="40"/>
      <x:c r="R87" s="41" t="str">
        <x:f>IF(OR(P87="",Q87=""),"",P87-Q87)</x:f>
      </x:c>
      <x:c r="S87" s="32"/>
      <x:c r="T87" s="32"/>
      <x:c r="U87" s="32"/>
      <x:c r="V87" s="32"/>
      <x:c r="W87" s="32"/>
      <x:c r="X87" s="32"/>
      <x:c r="Y87" s="43" t="str">
        <x:f>IF(OR(X87="",X87="Pending"),"",IF(X87="Rejected",0,IF(AND(U87="Ya",V87="Ya",W87="Ya"),1,"")))</x:f>
      </x:c>
      <x:c r="AA87" s="32"/>
      <x:c r="AB87" s="32"/>
      <x:c r="AC87" s="32"/>
      <x:c r="AD87" s="32"/>
      <x:c r="AE87" s="32"/>
      <x:c r="AF87" s="32"/>
      <x:c r="AG87" s="33" t="str">
        <x:f>IF(OR(AE87="",AF87=""),"",IF(AE87="Positif",IF(AF87="Positif","TP","FN"),IF(AF87="Positif","FP","TN")))</x:f>
      </x:c>
    </x:row>
    <x:row r="88">
      <x:c r="A88" s="32"/>
      <x:c r="B88" s="32"/>
      <x:c r="C88" s="32"/>
      <x:c r="D88" s="35"/>
      <x:c r="E88" s="32"/>
      <x:c r="F88" s="32"/>
      <x:c r="G88" s="32"/>
      <x:c r="H88" s="32"/>
      <x:c r="I88" s="32"/>
      <x:c r="J88" s="32"/>
      <x:c r="K88" s="32"/>
      <x:c r="L88" s="32"/>
      <x:c r="M88" s="32"/>
      <x:c r="N88" s="37"/>
      <x:c r="O88" s="32"/>
      <x:c r="P88" s="40"/>
      <x:c r="Q88" s="40"/>
      <x:c r="R88" s="41" t="str">
        <x:f>IF(OR(P88="",Q88=""),"",P88-Q88)</x:f>
      </x:c>
      <x:c r="S88" s="32"/>
      <x:c r="T88" s="32"/>
      <x:c r="U88" s="32"/>
      <x:c r="V88" s="32"/>
      <x:c r="W88" s="32"/>
      <x:c r="X88" s="32"/>
      <x:c r="Y88" s="43" t="str">
        <x:f>IF(OR(X88="",X88="Pending"),"",IF(X88="Rejected",0,IF(AND(U88="Ya",V88="Ya",W88="Ya"),1,"")))</x:f>
      </x:c>
      <x:c r="AA88" s="32"/>
      <x:c r="AB88" s="32"/>
      <x:c r="AC88" s="32"/>
      <x:c r="AD88" s="32"/>
      <x:c r="AE88" s="32"/>
      <x:c r="AF88" s="32"/>
      <x:c r="AG88" s="33" t="str">
        <x:f>IF(OR(AE88="",AF88=""),"",IF(AE88="Positif",IF(AF88="Positif","TP","FN"),IF(AF88="Positif","FP","TN")))</x:f>
      </x:c>
    </x:row>
    <x:row r="89">
      <x:c r="A89" s="32"/>
      <x:c r="B89" s="32"/>
      <x:c r="C89" s="32"/>
      <x:c r="D89" s="35"/>
      <x:c r="E89" s="32"/>
      <x:c r="F89" s="32"/>
      <x:c r="G89" s="32"/>
      <x:c r="H89" s="32"/>
      <x:c r="I89" s="32"/>
      <x:c r="J89" s="32"/>
      <x:c r="K89" s="32"/>
      <x:c r="L89" s="32"/>
      <x:c r="M89" s="32"/>
      <x:c r="N89" s="37"/>
      <x:c r="O89" s="32"/>
      <x:c r="P89" s="40"/>
      <x:c r="Q89" s="40"/>
      <x:c r="R89" s="41" t="str">
        <x:f>IF(OR(P89="",Q89=""),"",P89-Q89)</x:f>
      </x:c>
      <x:c r="S89" s="32"/>
      <x:c r="T89" s="32"/>
      <x:c r="U89" s="32"/>
      <x:c r="V89" s="32"/>
      <x:c r="W89" s="32"/>
      <x:c r="X89" s="32"/>
      <x:c r="Y89" s="43" t="str">
        <x:f>IF(OR(X89="",X89="Pending"),"",IF(X89="Rejected",0,IF(AND(U89="Ya",V89="Ya",W89="Ya"),1,"")))</x:f>
      </x:c>
      <x:c r="AA89" s="32"/>
      <x:c r="AB89" s="32"/>
      <x:c r="AC89" s="32"/>
      <x:c r="AD89" s="32"/>
      <x:c r="AE89" s="32"/>
      <x:c r="AF89" s="32"/>
      <x:c r="AG89" s="33" t="str">
        <x:f>IF(OR(AE89="",AF89=""),"",IF(AE89="Positif",IF(AF89="Positif","TP","FN"),IF(AF89="Positif","FP","TN")))</x:f>
      </x:c>
    </x:row>
    <x:row r="90">
      <x:c r="A90" s="32"/>
      <x:c r="B90" s="32"/>
      <x:c r="C90" s="32"/>
      <x:c r="D90" s="35"/>
      <x:c r="E90" s="32"/>
      <x:c r="F90" s="32"/>
      <x:c r="G90" s="32"/>
      <x:c r="H90" s="32"/>
      <x:c r="I90" s="32"/>
      <x:c r="J90" s="32"/>
      <x:c r="K90" s="32"/>
      <x:c r="L90" s="32"/>
      <x:c r="M90" s="32"/>
      <x:c r="N90" s="37"/>
      <x:c r="O90" s="32"/>
      <x:c r="P90" s="40"/>
      <x:c r="Q90" s="40"/>
      <x:c r="R90" s="41" t="str">
        <x:f>IF(OR(P90="",Q90=""),"",P90-Q90)</x:f>
      </x:c>
      <x:c r="S90" s="32"/>
      <x:c r="T90" s="32"/>
      <x:c r="U90" s="32"/>
      <x:c r="V90" s="32"/>
      <x:c r="W90" s="32"/>
      <x:c r="X90" s="32"/>
      <x:c r="Y90" s="43" t="str">
        <x:f>IF(OR(X90="",X90="Pending"),"",IF(X90="Rejected",0,IF(AND(U90="Ya",V90="Ya",W90="Ya"),1,"")))</x:f>
      </x:c>
      <x:c r="AA90" s="32"/>
      <x:c r="AB90" s="32"/>
      <x:c r="AC90" s="32"/>
      <x:c r="AD90" s="32"/>
      <x:c r="AE90" s="32"/>
      <x:c r="AF90" s="32"/>
      <x:c r="AG90" s="33" t="str">
        <x:f>IF(OR(AE90="",AF90=""),"",IF(AE90="Positif",IF(AF90="Positif","TP","FN"),IF(AF90="Positif","FP","TN")))</x:f>
      </x:c>
    </x:row>
    <x:row r="91">
      <x:c r="A91" s="32"/>
      <x:c r="B91" s="32"/>
      <x:c r="C91" s="32"/>
      <x:c r="D91" s="35"/>
      <x:c r="E91" s="32"/>
      <x:c r="F91" s="32"/>
      <x:c r="G91" s="32"/>
      <x:c r="H91" s="32"/>
      <x:c r="I91" s="32"/>
      <x:c r="J91" s="32"/>
      <x:c r="K91" s="32"/>
      <x:c r="L91" s="32"/>
      <x:c r="M91" s="32"/>
      <x:c r="N91" s="37"/>
      <x:c r="O91" s="32"/>
      <x:c r="P91" s="40"/>
      <x:c r="Q91" s="40"/>
      <x:c r="R91" s="41" t="str">
        <x:f>IF(OR(P91="",Q91=""),"",P91-Q91)</x:f>
      </x:c>
      <x:c r="S91" s="32"/>
      <x:c r="T91" s="32"/>
      <x:c r="U91" s="32"/>
      <x:c r="V91" s="32"/>
      <x:c r="W91" s="32"/>
      <x:c r="X91" s="32"/>
      <x:c r="Y91" s="43" t="str">
        <x:f>IF(OR(X91="",X91="Pending"),"",IF(X91="Rejected",0,IF(AND(U91="Ya",V91="Ya",W91="Ya"),1,"")))</x:f>
      </x:c>
      <x:c r="AA91" s="32"/>
      <x:c r="AB91" s="32"/>
      <x:c r="AC91" s="32"/>
      <x:c r="AD91" s="32"/>
      <x:c r="AE91" s="32"/>
      <x:c r="AF91" s="32"/>
      <x:c r="AG91" s="33" t="str">
        <x:f>IF(OR(AE91="",AF91=""),"",IF(AE91="Positif",IF(AF91="Positif","TP","FN"),IF(AF91="Positif","FP","TN")))</x:f>
      </x:c>
    </x:row>
    <x:row r="92">
      <x:c r="A92" s="32"/>
      <x:c r="B92" s="32"/>
      <x:c r="C92" s="32"/>
      <x:c r="D92" s="35"/>
      <x:c r="E92" s="32"/>
      <x:c r="F92" s="32"/>
      <x:c r="G92" s="32"/>
      <x:c r="H92" s="32"/>
      <x:c r="I92" s="32"/>
      <x:c r="J92" s="32"/>
      <x:c r="K92" s="32"/>
      <x:c r="L92" s="32"/>
      <x:c r="M92" s="32"/>
      <x:c r="N92" s="37"/>
      <x:c r="O92" s="32"/>
      <x:c r="P92" s="40"/>
      <x:c r="Q92" s="40"/>
      <x:c r="R92" s="41" t="str">
        <x:f>IF(OR(P92="",Q92=""),"",P92-Q92)</x:f>
      </x:c>
      <x:c r="S92" s="32"/>
      <x:c r="T92" s="32"/>
      <x:c r="U92" s="32"/>
      <x:c r="V92" s="32"/>
      <x:c r="W92" s="32"/>
      <x:c r="X92" s="32"/>
      <x:c r="Y92" s="43" t="str">
        <x:f>IF(OR(X92="",X92="Pending"),"",IF(X92="Rejected",0,IF(AND(U92="Ya",V92="Ya",W92="Ya"),1,"")))</x:f>
      </x:c>
      <x:c r="AA92" s="32"/>
      <x:c r="AB92" s="32"/>
      <x:c r="AC92" s="32"/>
      <x:c r="AD92" s="32"/>
      <x:c r="AE92" s="32"/>
      <x:c r="AF92" s="32"/>
      <x:c r="AG92" s="33" t="str">
        <x:f>IF(OR(AE92="",AF92=""),"",IF(AE92="Positif",IF(AF92="Positif","TP","FN"),IF(AF92="Positif","FP","TN")))</x:f>
      </x:c>
    </x:row>
    <x:row r="93">
      <x:c r="A93" s="32"/>
      <x:c r="B93" s="32"/>
      <x:c r="C93" s="32"/>
      <x:c r="D93" s="35"/>
      <x:c r="E93" s="32"/>
      <x:c r="F93" s="32"/>
      <x:c r="G93" s="32"/>
      <x:c r="H93" s="32"/>
      <x:c r="I93" s="32"/>
      <x:c r="J93" s="32"/>
      <x:c r="K93" s="32"/>
      <x:c r="L93" s="32"/>
      <x:c r="M93" s="32"/>
      <x:c r="N93" s="37"/>
      <x:c r="O93" s="32"/>
      <x:c r="P93" s="40"/>
      <x:c r="Q93" s="40"/>
      <x:c r="R93" s="41" t="str">
        <x:f>IF(OR(P93="",Q93=""),"",P93-Q93)</x:f>
      </x:c>
      <x:c r="S93" s="32"/>
      <x:c r="T93" s="32"/>
      <x:c r="U93" s="32"/>
      <x:c r="V93" s="32"/>
      <x:c r="W93" s="32"/>
      <x:c r="X93" s="32"/>
      <x:c r="Y93" s="43" t="str">
        <x:f>IF(OR(X93="",X93="Pending"),"",IF(X93="Rejected",0,IF(AND(U93="Ya",V93="Ya",W93="Ya"),1,"")))</x:f>
      </x:c>
      <x:c r="AA93" s="32"/>
      <x:c r="AB93" s="32"/>
      <x:c r="AC93" s="32"/>
      <x:c r="AD93" s="32"/>
      <x:c r="AE93" s="32"/>
      <x:c r="AF93" s="32"/>
      <x:c r="AG93" s="33" t="str">
        <x:f>IF(OR(AE93="",AF93=""),"",IF(AE93="Positif",IF(AF93="Positif","TP","FN"),IF(AF93="Positif","FP","TN")))</x:f>
      </x:c>
    </x:row>
    <x:row r="94">
      <x:c r="A94" s="32"/>
      <x:c r="B94" s="32"/>
      <x:c r="C94" s="32"/>
      <x:c r="D94" s="35"/>
      <x:c r="E94" s="32"/>
      <x:c r="F94" s="32"/>
      <x:c r="G94" s="32"/>
      <x:c r="H94" s="32"/>
      <x:c r="I94" s="32"/>
      <x:c r="J94" s="32"/>
      <x:c r="K94" s="32"/>
      <x:c r="L94" s="32"/>
      <x:c r="M94" s="32"/>
      <x:c r="N94" s="37"/>
      <x:c r="O94" s="32"/>
      <x:c r="P94" s="40"/>
      <x:c r="Q94" s="40"/>
      <x:c r="R94" s="41" t="str">
        <x:f>IF(OR(P94="",Q94=""),"",P94-Q94)</x:f>
      </x:c>
      <x:c r="S94" s="32"/>
      <x:c r="T94" s="32"/>
      <x:c r="U94" s="32"/>
      <x:c r="V94" s="32"/>
      <x:c r="W94" s="32"/>
      <x:c r="X94" s="32"/>
      <x:c r="Y94" s="43" t="str">
        <x:f>IF(OR(X94="",X94="Pending"),"",IF(X94="Rejected",0,IF(AND(U94="Ya",V94="Ya",W94="Ya"),1,"")))</x:f>
      </x:c>
      <x:c r="AA94" s="32"/>
      <x:c r="AB94" s="32"/>
      <x:c r="AC94" s="32"/>
      <x:c r="AD94" s="32"/>
      <x:c r="AE94" s="32"/>
      <x:c r="AF94" s="32"/>
      <x:c r="AG94" s="33" t="str">
        <x:f>IF(OR(AE94="",AF94=""),"",IF(AE94="Positif",IF(AF94="Positif","TP","FN"),IF(AF94="Positif","FP","TN")))</x:f>
      </x:c>
    </x:row>
    <x:row r="95">
      <x:c r="A95" s="32"/>
      <x:c r="B95" s="32"/>
      <x:c r="C95" s="32"/>
      <x:c r="D95" s="35"/>
      <x:c r="E95" s="32"/>
      <x:c r="F95" s="32"/>
      <x:c r="G95" s="32"/>
      <x:c r="H95" s="32"/>
      <x:c r="I95" s="32"/>
      <x:c r="J95" s="32"/>
      <x:c r="K95" s="32"/>
      <x:c r="L95" s="32"/>
      <x:c r="M95" s="32"/>
      <x:c r="N95" s="37"/>
      <x:c r="O95" s="32"/>
      <x:c r="P95" s="40"/>
      <x:c r="Q95" s="40"/>
      <x:c r="R95" s="41" t="str">
        <x:f>IF(OR(P95="",Q95=""),"",P95-Q95)</x:f>
      </x:c>
      <x:c r="S95" s="32"/>
      <x:c r="T95" s="32"/>
      <x:c r="U95" s="32"/>
      <x:c r="V95" s="32"/>
      <x:c r="W95" s="32"/>
      <x:c r="X95" s="32"/>
      <x:c r="Y95" s="43" t="str">
        <x:f>IF(OR(X95="",X95="Pending"),"",IF(X95="Rejected",0,IF(AND(U95="Ya",V95="Ya",W95="Ya"),1,"")))</x:f>
      </x:c>
      <x:c r="AA95" s="32"/>
      <x:c r="AB95" s="32"/>
      <x:c r="AC95" s="32"/>
      <x:c r="AD95" s="32"/>
      <x:c r="AE95" s="32"/>
      <x:c r="AF95" s="32"/>
      <x:c r="AG95" s="33" t="str">
        <x:f>IF(OR(AE95="",AF95=""),"",IF(AE95="Positif",IF(AF95="Positif","TP","FN"),IF(AF95="Positif","FP","TN")))</x:f>
      </x:c>
    </x:row>
    <x:row r="96">
      <x:c r="A96" s="32"/>
      <x:c r="B96" s="32"/>
      <x:c r="C96" s="32"/>
      <x:c r="D96" s="35"/>
      <x:c r="E96" s="32"/>
      <x:c r="F96" s="32"/>
      <x:c r="G96" s="32"/>
      <x:c r="H96" s="32"/>
      <x:c r="I96" s="32"/>
      <x:c r="J96" s="32"/>
      <x:c r="K96" s="32"/>
      <x:c r="L96" s="32"/>
      <x:c r="M96" s="32"/>
      <x:c r="N96" s="37"/>
      <x:c r="O96" s="32"/>
      <x:c r="P96" s="40"/>
      <x:c r="Q96" s="40"/>
      <x:c r="R96" s="41" t="str">
        <x:f>IF(OR(P96="",Q96=""),"",P96-Q96)</x:f>
      </x:c>
      <x:c r="S96" s="32"/>
      <x:c r="T96" s="32"/>
      <x:c r="U96" s="32"/>
      <x:c r="V96" s="32"/>
      <x:c r="W96" s="32"/>
      <x:c r="X96" s="32"/>
      <x:c r="Y96" s="43" t="str">
        <x:f>IF(OR(X96="",X96="Pending"),"",IF(X96="Rejected",0,IF(AND(U96="Ya",V96="Ya",W96="Ya"),1,"")))</x:f>
      </x:c>
      <x:c r="AA96" s="32"/>
      <x:c r="AB96" s="32"/>
      <x:c r="AC96" s="32"/>
      <x:c r="AD96" s="32"/>
      <x:c r="AE96" s="32"/>
      <x:c r="AF96" s="32"/>
      <x:c r="AG96" s="33" t="str">
        <x:f>IF(OR(AE96="",AF96=""),"",IF(AE96="Positif",IF(AF96="Positif","TP","FN"),IF(AF96="Positif","FP","TN")))</x:f>
      </x:c>
    </x:row>
    <x:row r="97">
      <x:c r="A97" s="32"/>
      <x:c r="B97" s="32"/>
      <x:c r="C97" s="32"/>
      <x:c r="D97" s="35"/>
      <x:c r="E97" s="32"/>
      <x:c r="F97" s="32"/>
      <x:c r="G97" s="32"/>
      <x:c r="H97" s="32"/>
      <x:c r="I97" s="32"/>
      <x:c r="J97" s="32"/>
      <x:c r="K97" s="32"/>
      <x:c r="L97" s="32"/>
      <x:c r="M97" s="32"/>
      <x:c r="N97" s="37"/>
      <x:c r="O97" s="32"/>
      <x:c r="P97" s="40"/>
      <x:c r="Q97" s="40"/>
      <x:c r="R97" s="41" t="str">
        <x:f>IF(OR(P97="",Q97=""),"",P97-Q97)</x:f>
      </x:c>
      <x:c r="S97" s="32"/>
      <x:c r="T97" s="32"/>
      <x:c r="U97" s="32"/>
      <x:c r="V97" s="32"/>
      <x:c r="W97" s="32"/>
      <x:c r="X97" s="32"/>
      <x:c r="Y97" s="43" t="str">
        <x:f>IF(OR(X97="",X97="Pending"),"",IF(X97="Rejected",0,IF(AND(U97="Ya",V97="Ya",W97="Ya"),1,"")))</x:f>
      </x:c>
      <x:c r="AA97" s="32"/>
      <x:c r="AB97" s="32"/>
      <x:c r="AC97" s="32"/>
      <x:c r="AD97" s="32"/>
      <x:c r="AE97" s="32"/>
      <x:c r="AF97" s="32"/>
      <x:c r="AG97" s="33" t="str">
        <x:f>IF(OR(AE97="",AF97=""),"",IF(AE97="Positif",IF(AF97="Positif","TP","FN"),IF(AF97="Positif","FP","TN")))</x:f>
      </x:c>
    </x:row>
    <x:row r="98">
      <x:c r="A98" s="32"/>
      <x:c r="B98" s="32"/>
      <x:c r="C98" s="32"/>
      <x:c r="D98" s="35"/>
      <x:c r="E98" s="32"/>
      <x:c r="F98" s="32"/>
      <x:c r="G98" s="32"/>
      <x:c r="H98" s="32"/>
      <x:c r="I98" s="32"/>
      <x:c r="J98" s="32"/>
      <x:c r="K98" s="32"/>
      <x:c r="L98" s="32"/>
      <x:c r="M98" s="32"/>
      <x:c r="N98" s="37"/>
      <x:c r="O98" s="32"/>
      <x:c r="P98" s="40"/>
      <x:c r="Q98" s="40"/>
      <x:c r="R98" s="41" t="str">
        <x:f>IF(OR(P98="",Q98=""),"",P98-Q98)</x:f>
      </x:c>
      <x:c r="S98" s="32"/>
      <x:c r="T98" s="32"/>
      <x:c r="U98" s="32"/>
      <x:c r="V98" s="32"/>
      <x:c r="W98" s="32"/>
      <x:c r="X98" s="32"/>
      <x:c r="Y98" s="43" t="str">
        <x:f>IF(OR(X98="",X98="Pending"),"",IF(X98="Rejected",0,IF(AND(U98="Ya",V98="Ya",W98="Ya"),1,"")))</x:f>
      </x:c>
      <x:c r="AA98" s="32"/>
      <x:c r="AB98" s="32"/>
      <x:c r="AC98" s="32"/>
      <x:c r="AD98" s="32"/>
      <x:c r="AE98" s="32"/>
      <x:c r="AF98" s="32"/>
      <x:c r="AG98" s="33" t="str">
        <x:f>IF(OR(AE98="",AF98=""),"",IF(AE98="Positif",IF(AF98="Positif","TP","FN"),IF(AF98="Positif","FP","TN")))</x:f>
      </x:c>
    </x:row>
    <x:row r="99">
      <x:c r="A99" s="32"/>
      <x:c r="B99" s="32"/>
      <x:c r="C99" s="32"/>
      <x:c r="D99" s="35"/>
      <x:c r="E99" s="32"/>
      <x:c r="F99" s="32"/>
      <x:c r="G99" s="32"/>
      <x:c r="H99" s="32"/>
      <x:c r="I99" s="32"/>
      <x:c r="J99" s="32"/>
      <x:c r="K99" s="32"/>
      <x:c r="L99" s="32"/>
      <x:c r="M99" s="32"/>
      <x:c r="N99" s="37"/>
      <x:c r="O99" s="32"/>
      <x:c r="P99" s="40"/>
      <x:c r="Q99" s="40"/>
      <x:c r="R99" s="41" t="str">
        <x:f>IF(OR(P99="",Q99=""),"",P99-Q99)</x:f>
      </x:c>
      <x:c r="S99" s="32"/>
      <x:c r="T99" s="32"/>
      <x:c r="U99" s="32"/>
      <x:c r="V99" s="32"/>
      <x:c r="W99" s="32"/>
      <x:c r="X99" s="32"/>
      <x:c r="Y99" s="43" t="str">
        <x:f>IF(OR(X99="",X99="Pending"),"",IF(X99="Rejected",0,IF(AND(U99="Ya",V99="Ya",W99="Ya"),1,"")))</x:f>
      </x:c>
      <x:c r="AA99" s="32"/>
      <x:c r="AB99" s="32"/>
      <x:c r="AC99" s="32"/>
      <x:c r="AD99" s="32"/>
      <x:c r="AE99" s="32"/>
      <x:c r="AF99" s="32"/>
      <x:c r="AG99" s="33" t="str">
        <x:f>IF(OR(AE99="",AF99=""),"",IF(AE99="Positif",IF(AF99="Positif","TP","FN"),IF(AF99="Positif","FP","TN")))</x:f>
      </x:c>
    </x:row>
    <x:row r="100">
      <x:c r="A100" s="32"/>
      <x:c r="B100" s="32"/>
      <x:c r="C100" s="32"/>
      <x:c r="D100" s="35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7"/>
      <x:c r="O100" s="32"/>
      <x:c r="P100" s="40"/>
      <x:c r="Q100" s="40"/>
      <x:c r="R100" s="41" t="str">
        <x:f>IF(OR(P100="",Q100=""),"",P100-Q100)</x:f>
      </x:c>
      <x:c r="S100" s="32"/>
      <x:c r="T100" s="32"/>
      <x:c r="U100" s="32"/>
      <x:c r="V100" s="32"/>
      <x:c r="W100" s="32"/>
      <x:c r="X100" s="32"/>
      <x:c r="Y100" s="43" t="str">
        <x:f>IF(OR(X100="",X100="Pending"),"",IF(X100="Rejected",0,IF(AND(U100="Ya",V100="Ya",W100="Ya"),1,"")))</x:f>
      </x:c>
      <x:c r="AA100" s="32"/>
      <x:c r="AB100" s="32"/>
      <x:c r="AC100" s="32"/>
      <x:c r="AD100" s="32"/>
      <x:c r="AE100" s="32"/>
      <x:c r="AF100" s="32"/>
      <x:c r="AG100" s="33" t="str">
        <x:f>IF(OR(AE100="",AF100=""),"",IF(AE100="Positif",IF(AF100="Positif","TP","FN"),IF(AF100="Positif","FP","TN")))</x:f>
      </x:c>
    </x:row>
    <x:row r="101">
      <x:c r="A101" s="32"/>
      <x:c r="B101" s="32"/>
      <x:c r="C101" s="32"/>
      <x:c r="D101" s="35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7"/>
      <x:c r="O101" s="32"/>
      <x:c r="P101" s="40"/>
      <x:c r="Q101" s="40"/>
      <x:c r="R101" s="41" t="str">
        <x:f>IF(OR(P101="",Q101=""),"",P101-Q101)</x:f>
      </x:c>
      <x:c r="S101" s="32"/>
      <x:c r="T101" s="32"/>
      <x:c r="U101" s="32"/>
      <x:c r="V101" s="32"/>
      <x:c r="W101" s="32"/>
      <x:c r="X101" s="32"/>
      <x:c r="Y101" s="43" t="str">
        <x:f>IF(OR(X101="",X101="Pending"),"",IF(X101="Rejected",0,IF(AND(U101="Ya",V101="Ya",W101="Ya"),1,"")))</x:f>
      </x:c>
      <x:c r="AA101" s="32"/>
      <x:c r="AB101" s="32"/>
      <x:c r="AC101" s="32"/>
      <x:c r="AD101" s="32"/>
      <x:c r="AE101" s="32"/>
      <x:c r="AF101" s="32"/>
      <x:c r="AG101" s="33" t="str">
        <x:f>IF(OR(AE101="",AF101=""),"",IF(AE101="Positif",IF(AF101="Positif","TP","FN"),IF(AF101="Positif","FP","TN")))</x:f>
      </x:c>
    </x:row>
    <x:row r="102">
      <x:c r="A102" s="32"/>
      <x:c r="B102" s="32"/>
      <x:c r="C102" s="32"/>
      <x:c r="D102" s="35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7"/>
      <x:c r="O102" s="32"/>
      <x:c r="P102" s="40"/>
      <x:c r="Q102" s="40"/>
      <x:c r="R102" s="41" t="str">
        <x:f>IF(OR(P102="",Q102=""),"",P102-Q102)</x:f>
      </x:c>
      <x:c r="S102" s="32"/>
      <x:c r="T102" s="32"/>
      <x:c r="U102" s="32"/>
      <x:c r="V102" s="32"/>
      <x:c r="W102" s="32"/>
      <x:c r="X102" s="32"/>
      <x:c r="Y102" s="43" t="str">
        <x:f>IF(OR(X102="",X102="Pending"),"",IF(X102="Rejected",0,IF(AND(U102="Ya",V102="Ya",W102="Ya"),1,"")))</x:f>
      </x:c>
      <x:c r="AA102" s="32"/>
      <x:c r="AB102" s="32"/>
      <x:c r="AC102" s="32"/>
      <x:c r="AD102" s="32"/>
      <x:c r="AE102" s="32"/>
      <x:c r="AF102" s="32"/>
      <x:c r="AG102" s="33" t="str">
        <x:f>IF(OR(AE102="",AF102=""),"",IF(AE102="Positif",IF(AF102="Positif","TP","FN"),IF(AF102="Positif","FP","TN")))</x:f>
      </x:c>
    </x:row>
    <x:row r="103">
      <x:c r="A103" s="32"/>
      <x:c r="B103" s="32"/>
      <x:c r="C103" s="32"/>
      <x:c r="D103" s="35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7"/>
      <x:c r="O103" s="32"/>
      <x:c r="P103" s="40"/>
      <x:c r="Q103" s="40"/>
      <x:c r="R103" s="41" t="str">
        <x:f>IF(OR(P103="",Q103=""),"",P103-Q103)</x:f>
      </x:c>
      <x:c r="S103" s="32"/>
      <x:c r="T103" s="32"/>
      <x:c r="U103" s="32"/>
      <x:c r="V103" s="32"/>
      <x:c r="W103" s="32"/>
      <x:c r="X103" s="32"/>
      <x:c r="Y103" s="43" t="str">
        <x:f>IF(OR(X103="",X103="Pending"),"",IF(X103="Rejected",0,IF(AND(U103="Ya",V103="Ya",W103="Ya"),1,"")))</x:f>
      </x:c>
      <x:c r="AA103" s="32"/>
      <x:c r="AB103" s="32"/>
      <x:c r="AC103" s="32"/>
      <x:c r="AD103" s="32"/>
      <x:c r="AE103" s="32"/>
      <x:c r="AF103" s="32"/>
      <x:c r="AG103" s="33" t="str">
        <x:f>IF(OR(AE103="",AF103=""),"",IF(AE103="Positif",IF(AF103="Positif","TP","FN"),IF(AF103="Positif","FP","TN")))</x:f>
      </x:c>
    </x:row>
    <x:row r="104">
      <x:c r="A104" s="32"/>
      <x:c r="B104" s="32"/>
      <x:c r="C104" s="32"/>
      <x:c r="D104" s="35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7"/>
      <x:c r="O104" s="32"/>
      <x:c r="P104" s="40"/>
      <x:c r="Q104" s="40"/>
      <x:c r="R104" s="41" t="str">
        <x:f>IF(OR(P104="",Q104=""),"",P104-Q104)</x:f>
      </x:c>
      <x:c r="S104" s="32"/>
      <x:c r="T104" s="32"/>
      <x:c r="U104" s="32"/>
      <x:c r="V104" s="32"/>
      <x:c r="W104" s="32"/>
      <x:c r="X104" s="32"/>
      <x:c r="Y104" s="43" t="str">
        <x:f>IF(OR(X104="",X104="Pending"),"",IF(X104="Rejected",0,IF(AND(U104="Ya",V104="Ya",W104="Ya"),1,"")))</x:f>
      </x:c>
      <x:c r="AA104" s="32"/>
      <x:c r="AB104" s="32"/>
      <x:c r="AC104" s="32"/>
      <x:c r="AD104" s="32"/>
      <x:c r="AE104" s="32"/>
      <x:c r="AF104" s="32"/>
      <x:c r="AG104" s="33" t="str">
        <x:f>IF(OR(AE104="",AF104=""),"",IF(AE104="Positif",IF(AF104="Positif","TP","FN"),IF(AF104="Positif","FP","TN")))</x:f>
      </x:c>
    </x:row>
    <x:row r="105">
      <x:c r="A105" s="32"/>
      <x:c r="B105" s="32"/>
      <x:c r="C105" s="32"/>
      <x:c r="D105" s="35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7"/>
      <x:c r="O105" s="32"/>
      <x:c r="P105" s="40"/>
      <x:c r="Q105" s="40"/>
      <x:c r="R105" s="41" t="str">
        <x:f>IF(OR(P105="",Q105=""),"",P105-Q105)</x:f>
      </x:c>
      <x:c r="S105" s="32"/>
      <x:c r="T105" s="32"/>
      <x:c r="U105" s="32"/>
      <x:c r="V105" s="32"/>
      <x:c r="W105" s="32"/>
      <x:c r="X105" s="32"/>
      <x:c r="Y105" s="43" t="str">
        <x:f>IF(OR(X105="",X105="Pending"),"",IF(X105="Rejected",0,IF(AND(U105="Ya",V105="Ya",W105="Ya"),1,"")))</x:f>
      </x:c>
      <x:c r="AA105" s="32"/>
      <x:c r="AB105" s="32"/>
      <x:c r="AC105" s="32"/>
      <x:c r="AD105" s="32"/>
      <x:c r="AE105" s="32"/>
      <x:c r="AF105" s="32"/>
      <x:c r="AG105" s="33" t="str">
        <x:f>IF(OR(AE105="",AF105=""),"",IF(AE105="Positif",IF(AF105="Positif","TP","FN"),IF(AF105="Positif","FP","TN")))</x:f>
      </x:c>
    </x:row>
    <x:row r="106">
      <x:c r="A106" s="32"/>
      <x:c r="B106" s="32"/>
      <x:c r="C106" s="32"/>
      <x:c r="D106" s="35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7"/>
      <x:c r="O106" s="32"/>
      <x:c r="P106" s="40"/>
      <x:c r="Q106" s="40"/>
      <x:c r="R106" s="41" t="str">
        <x:f>IF(OR(P106="",Q106=""),"",P106-Q106)</x:f>
      </x:c>
      <x:c r="S106" s="32"/>
      <x:c r="T106" s="32"/>
      <x:c r="U106" s="32"/>
      <x:c r="V106" s="32"/>
      <x:c r="W106" s="32"/>
      <x:c r="X106" s="32"/>
      <x:c r="Y106" s="43" t="str">
        <x:f>IF(OR(X106="",X106="Pending"),"",IF(X106="Rejected",0,IF(AND(U106="Ya",V106="Ya",W106="Ya"),1,"")))</x:f>
      </x:c>
      <x:c r="AA106" s="32"/>
      <x:c r="AB106" s="32"/>
      <x:c r="AC106" s="32"/>
      <x:c r="AD106" s="32"/>
      <x:c r="AE106" s="32"/>
      <x:c r="AF106" s="32"/>
      <x:c r="AG106" s="33" t="str">
        <x:f>IF(OR(AE106="",AF106=""),"",IF(AE106="Positif",IF(AF106="Positif","TP","FN"),IF(AF106="Positif","FP","TN")))</x:f>
      </x:c>
    </x:row>
    <x:row r="107">
      <x:c r="A107" s="32"/>
      <x:c r="B107" s="32"/>
      <x:c r="C107" s="32"/>
      <x:c r="D107" s="35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7"/>
      <x:c r="O107" s="32"/>
      <x:c r="P107" s="40"/>
      <x:c r="Q107" s="40"/>
      <x:c r="R107" s="41" t="str">
        <x:f>IF(OR(P107="",Q107=""),"",P107-Q107)</x:f>
      </x:c>
      <x:c r="S107" s="32"/>
      <x:c r="T107" s="32"/>
      <x:c r="U107" s="32"/>
      <x:c r="V107" s="32"/>
      <x:c r="W107" s="32"/>
      <x:c r="X107" s="32"/>
      <x:c r="Y107" s="43" t="str">
        <x:f>IF(OR(X107="",X107="Pending"),"",IF(X107="Rejected",0,IF(AND(U107="Ya",V107="Ya",W107="Ya"),1,"")))</x:f>
      </x:c>
      <x:c r="AA107" s="32"/>
      <x:c r="AB107" s="32"/>
      <x:c r="AC107" s="32"/>
      <x:c r="AD107" s="32"/>
      <x:c r="AE107" s="32"/>
      <x:c r="AF107" s="32"/>
      <x:c r="AG107" s="33" t="str">
        <x:f>IF(OR(AE107="",AF107=""),"",IF(AE107="Positif",IF(AF107="Positif","TP","FN"),IF(AF107="Positif","FP","TN")))</x:f>
      </x:c>
    </x:row>
    <x:row r="108">
      <x:c r="A108" s="32"/>
      <x:c r="B108" s="32"/>
      <x:c r="C108" s="32"/>
      <x:c r="D108" s="35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7"/>
      <x:c r="O108" s="32"/>
      <x:c r="P108" s="40"/>
      <x:c r="Q108" s="40"/>
      <x:c r="R108" s="41" t="str">
        <x:f>IF(OR(P108="",Q108=""),"",P108-Q108)</x:f>
      </x:c>
      <x:c r="S108" s="32"/>
      <x:c r="T108" s="32"/>
      <x:c r="U108" s="32"/>
      <x:c r="V108" s="32"/>
      <x:c r="W108" s="32"/>
      <x:c r="X108" s="32"/>
      <x:c r="Y108" s="43" t="str">
        <x:f>IF(OR(X108="",X108="Pending"),"",IF(X108="Rejected",0,IF(AND(U108="Ya",V108="Ya",W108="Ya"),1,"")))</x:f>
      </x:c>
      <x:c r="AA108" s="32"/>
      <x:c r="AB108" s="32"/>
      <x:c r="AC108" s="32"/>
      <x:c r="AD108" s="32"/>
      <x:c r="AE108" s="32"/>
      <x:c r="AF108" s="32"/>
      <x:c r="AG108" s="33" t="str">
        <x:f>IF(OR(AE108="",AF108=""),"",IF(AE108="Positif",IF(AF108="Positif","TP","FN"),IF(AF108="Positif","FP","TN")))</x:f>
      </x:c>
    </x:row>
    <x:row r="109">
      <x:c r="A109" s="32"/>
      <x:c r="B109" s="32"/>
      <x:c r="C109" s="32"/>
      <x:c r="D109" s="35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7"/>
      <x:c r="O109" s="32"/>
      <x:c r="P109" s="40"/>
      <x:c r="Q109" s="40"/>
      <x:c r="R109" s="41" t="str">
        <x:f>IF(OR(P109="",Q109=""),"",P109-Q109)</x:f>
      </x:c>
      <x:c r="S109" s="32"/>
      <x:c r="T109" s="32"/>
      <x:c r="U109" s="32"/>
      <x:c r="V109" s="32"/>
      <x:c r="W109" s="32"/>
      <x:c r="X109" s="32"/>
      <x:c r="Y109" s="43" t="str">
        <x:f>IF(OR(X109="",X109="Pending"),"",IF(X109="Rejected",0,IF(AND(U109="Ya",V109="Ya",W109="Ya"),1,"")))</x:f>
      </x:c>
      <x:c r="AA109" s="32"/>
      <x:c r="AB109" s="32"/>
      <x:c r="AC109" s="32"/>
      <x:c r="AD109" s="32"/>
      <x:c r="AE109" s="32"/>
      <x:c r="AF109" s="32"/>
      <x:c r="AG109" s="33" t="str">
        <x:f>IF(OR(AE109="",AF109=""),"",IF(AE109="Positif",IF(AF109="Positif","TP","FN"),IF(AF109="Positif","FP","TN")))</x:f>
      </x:c>
    </x:row>
    <x:row r="110">
      <x:c r="A110" s="32"/>
      <x:c r="B110" s="32"/>
      <x:c r="C110" s="32"/>
      <x:c r="D110" s="35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7"/>
      <x:c r="O110" s="32"/>
      <x:c r="P110" s="40"/>
      <x:c r="Q110" s="40"/>
      <x:c r="R110" s="41" t="str">
        <x:f>IF(OR(P110="",Q110=""),"",P110-Q110)</x:f>
      </x:c>
      <x:c r="S110" s="32"/>
      <x:c r="T110" s="32"/>
      <x:c r="U110" s="32"/>
      <x:c r="V110" s="32"/>
      <x:c r="W110" s="32"/>
      <x:c r="X110" s="32"/>
      <x:c r="Y110" s="43" t="str">
        <x:f>IF(OR(X110="",X110="Pending"),"",IF(X110="Rejected",0,IF(AND(U110="Ya",V110="Ya",W110="Ya"),1,"")))</x:f>
      </x:c>
      <x:c r="AA110" s="32"/>
      <x:c r="AB110" s="32"/>
      <x:c r="AC110" s="32"/>
      <x:c r="AD110" s="32"/>
      <x:c r="AE110" s="32"/>
      <x:c r="AF110" s="32"/>
      <x:c r="AG110" s="33" t="str">
        <x:f>IF(OR(AE110="",AF110=""),"",IF(AE110="Positif",IF(AF110="Positif","TP","FN"),IF(AF110="Positif","FP","TN")))</x:f>
      </x:c>
    </x:row>
    <x:row r="111">
      <x:c r="A111" s="32"/>
      <x:c r="B111" s="32"/>
      <x:c r="C111" s="32"/>
      <x:c r="D111" s="35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7"/>
      <x:c r="O111" s="32"/>
      <x:c r="P111" s="40"/>
      <x:c r="Q111" s="40"/>
      <x:c r="R111" s="41" t="str">
        <x:f>IF(OR(P111="",Q111=""),"",P111-Q111)</x:f>
      </x:c>
      <x:c r="S111" s="32"/>
      <x:c r="T111" s="32"/>
      <x:c r="U111" s="32"/>
      <x:c r="V111" s="32"/>
      <x:c r="W111" s="32"/>
      <x:c r="X111" s="32"/>
      <x:c r="Y111" s="43" t="str">
        <x:f>IF(OR(X111="",X111="Pending"),"",IF(X111="Rejected",0,IF(AND(U111="Ya",V111="Ya",W111="Ya"),1,"")))</x:f>
      </x:c>
      <x:c r="AA111" s="32"/>
      <x:c r="AB111" s="32"/>
      <x:c r="AC111" s="32"/>
      <x:c r="AD111" s="32"/>
      <x:c r="AE111" s="32"/>
      <x:c r="AF111" s="32"/>
      <x:c r="AG111" s="33" t="str">
        <x:f>IF(OR(AE111="",AF111=""),"",IF(AE111="Positif",IF(AF111="Positif","TP","FN"),IF(AF111="Positif","FP","TN")))</x:f>
      </x:c>
    </x:row>
    <x:row r="112">
      <x:c r="A112" s="32"/>
      <x:c r="B112" s="32"/>
      <x:c r="C112" s="32"/>
      <x:c r="D112" s="35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7"/>
      <x:c r="O112" s="32"/>
      <x:c r="P112" s="40"/>
      <x:c r="Q112" s="40"/>
      <x:c r="R112" s="41" t="str">
        <x:f>IF(OR(P112="",Q112=""),"",P112-Q112)</x:f>
      </x:c>
      <x:c r="S112" s="32"/>
      <x:c r="T112" s="32"/>
      <x:c r="U112" s="32"/>
      <x:c r="V112" s="32"/>
      <x:c r="W112" s="32"/>
      <x:c r="X112" s="32"/>
      <x:c r="Y112" s="43" t="str">
        <x:f>IF(OR(X112="",X112="Pending"),"",IF(X112="Rejected",0,IF(AND(U112="Ya",V112="Ya",W112="Ya"),1,"")))</x:f>
      </x:c>
      <x:c r="AA112" s="32"/>
      <x:c r="AB112" s="32"/>
      <x:c r="AC112" s="32"/>
      <x:c r="AD112" s="32"/>
      <x:c r="AE112" s="32"/>
      <x:c r="AF112" s="32"/>
      <x:c r="AG112" s="33" t="str">
        <x:f>IF(OR(AE112="",AF112=""),"",IF(AE112="Positif",IF(AF112="Positif","TP","FN"),IF(AF112="Positif","FP","TN")))</x:f>
      </x:c>
    </x:row>
    <x:row r="113">
      <x:c r="A113" s="32"/>
      <x:c r="B113" s="32"/>
      <x:c r="C113" s="32"/>
      <x:c r="D113" s="35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7"/>
      <x:c r="O113" s="32"/>
      <x:c r="P113" s="40"/>
      <x:c r="Q113" s="40"/>
      <x:c r="R113" s="41" t="str">
        <x:f>IF(OR(P113="",Q113=""),"",P113-Q113)</x:f>
      </x:c>
      <x:c r="S113" s="32"/>
      <x:c r="T113" s="32"/>
      <x:c r="U113" s="32"/>
      <x:c r="V113" s="32"/>
      <x:c r="W113" s="32"/>
      <x:c r="X113" s="32"/>
      <x:c r="Y113" s="43" t="str">
        <x:f>IF(OR(X113="",X113="Pending"),"",IF(X113="Rejected",0,IF(AND(U113="Ya",V113="Ya",W113="Ya"),1,"")))</x:f>
      </x:c>
      <x:c r="AA113" s="32"/>
      <x:c r="AB113" s="32"/>
      <x:c r="AC113" s="32"/>
      <x:c r="AD113" s="32"/>
      <x:c r="AE113" s="32"/>
      <x:c r="AF113" s="32"/>
      <x:c r="AG113" s="33" t="str">
        <x:f>IF(OR(AE113="",AF113=""),"",IF(AE113="Positif",IF(AF113="Positif","TP","FN"),IF(AF113="Positif","FP","TN")))</x:f>
      </x:c>
    </x:row>
    <x:row r="114">
      <x:c r="A114" s="32"/>
      <x:c r="B114" s="32"/>
      <x:c r="C114" s="32"/>
      <x:c r="D114" s="35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7"/>
      <x:c r="O114" s="32"/>
      <x:c r="P114" s="40"/>
      <x:c r="Q114" s="40"/>
      <x:c r="R114" s="41" t="str">
        <x:f>IF(OR(P114="",Q114=""),"",P114-Q114)</x:f>
      </x:c>
      <x:c r="S114" s="32"/>
      <x:c r="T114" s="32"/>
      <x:c r="U114" s="32"/>
      <x:c r="V114" s="32"/>
      <x:c r="W114" s="32"/>
      <x:c r="X114" s="32"/>
      <x:c r="Y114" s="43" t="str">
        <x:f>IF(OR(X114="",X114="Pending"),"",IF(X114="Rejected",0,IF(AND(U114="Ya",V114="Ya",W114="Ya"),1,"")))</x:f>
      </x:c>
      <x:c r="AA114" s="32"/>
      <x:c r="AB114" s="32"/>
      <x:c r="AC114" s="32"/>
      <x:c r="AD114" s="32"/>
      <x:c r="AE114" s="32"/>
      <x:c r="AF114" s="32"/>
      <x:c r="AG114" s="33" t="str">
        <x:f>IF(OR(AE114="",AF114=""),"",IF(AE114="Positif",IF(AF114="Positif","TP","FN"),IF(AF114="Positif","FP","TN")))</x:f>
      </x:c>
    </x:row>
    <x:row r="115">
      <x:c r="A115" s="32"/>
      <x:c r="B115" s="32"/>
      <x:c r="C115" s="32"/>
      <x:c r="D115" s="35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7"/>
      <x:c r="O115" s="32"/>
      <x:c r="P115" s="40"/>
      <x:c r="Q115" s="40"/>
      <x:c r="R115" s="41" t="str">
        <x:f>IF(OR(P115="",Q115=""),"",P115-Q115)</x:f>
      </x:c>
      <x:c r="S115" s="32"/>
      <x:c r="T115" s="32"/>
      <x:c r="U115" s="32"/>
      <x:c r="V115" s="32"/>
      <x:c r="W115" s="32"/>
      <x:c r="X115" s="32"/>
      <x:c r="Y115" s="43" t="str">
        <x:f>IF(OR(X115="",X115="Pending"),"",IF(X115="Rejected",0,IF(AND(U115="Ya",V115="Ya",W115="Ya"),1,"")))</x:f>
      </x:c>
      <x:c r="AA115" s="32"/>
      <x:c r="AB115" s="32"/>
      <x:c r="AC115" s="32"/>
      <x:c r="AD115" s="32"/>
      <x:c r="AE115" s="32"/>
      <x:c r="AF115" s="32"/>
      <x:c r="AG115" s="33" t="str">
        <x:f>IF(OR(AE115="",AF115=""),"",IF(AE115="Positif",IF(AF115="Positif","TP","FN"),IF(AF115="Positif","FP","TN")))</x:f>
      </x:c>
    </x:row>
    <x:row r="116">
      <x:c r="A116" s="32"/>
      <x:c r="B116" s="32"/>
      <x:c r="C116" s="32"/>
      <x:c r="D116" s="35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7"/>
      <x:c r="O116" s="32"/>
      <x:c r="P116" s="40"/>
      <x:c r="Q116" s="40"/>
      <x:c r="R116" s="41" t="str">
        <x:f>IF(OR(P116="",Q116=""),"",P116-Q116)</x:f>
      </x:c>
      <x:c r="S116" s="32"/>
      <x:c r="T116" s="32"/>
      <x:c r="U116" s="32"/>
      <x:c r="V116" s="32"/>
      <x:c r="W116" s="32"/>
      <x:c r="X116" s="32"/>
      <x:c r="Y116" s="43" t="str">
        <x:f>IF(OR(X116="",X116="Pending"),"",IF(X116="Rejected",0,IF(AND(U116="Ya",V116="Ya",W116="Ya"),1,"")))</x:f>
      </x:c>
      <x:c r="AA116" s="32"/>
      <x:c r="AB116" s="32"/>
      <x:c r="AC116" s="32"/>
      <x:c r="AD116" s="32"/>
      <x:c r="AE116" s="32"/>
      <x:c r="AF116" s="32"/>
      <x:c r="AG116" s="33" t="str">
        <x:f>IF(OR(AE116="",AF116=""),"",IF(AE116="Positif",IF(AF116="Positif","TP","FN"),IF(AF116="Positif","FP","TN")))</x:f>
      </x:c>
    </x:row>
    <x:row r="117">
      <x:c r="A117" s="32"/>
      <x:c r="B117" s="32"/>
      <x:c r="C117" s="32"/>
      <x:c r="D117" s="35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7"/>
      <x:c r="O117" s="32"/>
      <x:c r="P117" s="40"/>
      <x:c r="Q117" s="40"/>
      <x:c r="R117" s="41" t="str">
        <x:f>IF(OR(P117="",Q117=""),"",P117-Q117)</x:f>
      </x:c>
      <x:c r="S117" s="32"/>
      <x:c r="T117" s="32"/>
      <x:c r="U117" s="32"/>
      <x:c r="V117" s="32"/>
      <x:c r="W117" s="32"/>
      <x:c r="X117" s="32"/>
      <x:c r="Y117" s="43" t="str">
        <x:f>IF(OR(X117="",X117="Pending"),"",IF(X117="Rejected",0,IF(AND(U117="Ya",V117="Ya",W117="Ya"),1,"")))</x:f>
      </x:c>
      <x:c r="AA117" s="32"/>
      <x:c r="AB117" s="32"/>
      <x:c r="AC117" s="32"/>
      <x:c r="AD117" s="32"/>
      <x:c r="AE117" s="32"/>
      <x:c r="AF117" s="32"/>
      <x:c r="AG117" s="33" t="str">
        <x:f>IF(OR(AE117="",AF117=""),"",IF(AE117="Positif",IF(AF117="Positif","TP","FN"),IF(AF117="Positif","FP","TN")))</x:f>
      </x:c>
    </x:row>
    <x:row r="118">
      <x:c r="A118" s="32"/>
      <x:c r="B118" s="32"/>
      <x:c r="C118" s="32"/>
      <x:c r="D118" s="35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7"/>
      <x:c r="O118" s="32"/>
      <x:c r="P118" s="40"/>
      <x:c r="Q118" s="40"/>
      <x:c r="R118" s="41" t="str">
        <x:f>IF(OR(P118="",Q118=""),"",P118-Q118)</x:f>
      </x:c>
      <x:c r="S118" s="32"/>
      <x:c r="T118" s="32"/>
      <x:c r="U118" s="32"/>
      <x:c r="V118" s="32"/>
      <x:c r="W118" s="32"/>
      <x:c r="X118" s="32"/>
      <x:c r="Y118" s="43" t="str">
        <x:f>IF(OR(X118="",X118="Pending"),"",IF(X118="Rejected",0,IF(AND(U118="Ya",V118="Ya",W118="Ya"),1,"")))</x:f>
      </x:c>
      <x:c r="AA118" s="32"/>
      <x:c r="AB118" s="32"/>
      <x:c r="AC118" s="32"/>
      <x:c r="AD118" s="32"/>
      <x:c r="AE118" s="32"/>
      <x:c r="AF118" s="32"/>
      <x:c r="AG118" s="33" t="str">
        <x:f>IF(OR(AE118="",AF118=""),"",IF(AE118="Positif",IF(AF118="Positif","TP","FN"),IF(AF118="Positif","FP","TN")))</x:f>
      </x:c>
    </x:row>
    <x:row r="119">
      <x:c r="A119" s="32"/>
      <x:c r="B119" s="32"/>
      <x:c r="C119" s="32"/>
      <x:c r="D119" s="35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7"/>
      <x:c r="O119" s="32"/>
      <x:c r="P119" s="40"/>
      <x:c r="Q119" s="40"/>
      <x:c r="R119" s="41" t="str">
        <x:f>IF(OR(P119="",Q119=""),"",P119-Q119)</x:f>
      </x:c>
      <x:c r="S119" s="32"/>
      <x:c r="T119" s="32"/>
      <x:c r="U119" s="32"/>
      <x:c r="V119" s="32"/>
      <x:c r="W119" s="32"/>
      <x:c r="X119" s="32"/>
      <x:c r="Y119" s="43" t="str">
        <x:f>IF(OR(X119="",X119="Pending"),"",IF(X119="Rejected",0,IF(AND(U119="Ya",V119="Ya",W119="Ya"),1,"")))</x:f>
      </x:c>
      <x:c r="AA119" s="32"/>
      <x:c r="AB119" s="32"/>
      <x:c r="AC119" s="32"/>
      <x:c r="AD119" s="32"/>
      <x:c r="AE119" s="32"/>
      <x:c r="AF119" s="32"/>
      <x:c r="AG119" s="33" t="str">
        <x:f>IF(OR(AE119="",AF119=""),"",IF(AE119="Positif",IF(AF119="Positif","TP","FN"),IF(AF119="Positif","FP","TN")))</x:f>
      </x:c>
    </x:row>
    <x:row r="120">
      <x:c r="A120" s="32"/>
      <x:c r="B120" s="32"/>
      <x:c r="C120" s="32"/>
      <x:c r="D120" s="35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7"/>
      <x:c r="O120" s="32"/>
      <x:c r="P120" s="40"/>
      <x:c r="Q120" s="40"/>
      <x:c r="R120" s="41" t="str">
        <x:f>IF(OR(P120="",Q120=""),"",P120-Q120)</x:f>
      </x:c>
      <x:c r="S120" s="32"/>
      <x:c r="T120" s="32"/>
      <x:c r="U120" s="32"/>
      <x:c r="V120" s="32"/>
      <x:c r="W120" s="32"/>
      <x:c r="X120" s="32"/>
      <x:c r="Y120" s="43" t="str">
        <x:f>IF(OR(X120="",X120="Pending"),"",IF(X120="Rejected",0,IF(AND(U120="Ya",V120="Ya",W120="Ya"),1,"")))</x:f>
      </x:c>
      <x:c r="AA120" s="32"/>
      <x:c r="AB120" s="32"/>
      <x:c r="AC120" s="32"/>
      <x:c r="AD120" s="32"/>
      <x:c r="AE120" s="32"/>
      <x:c r="AF120" s="32"/>
      <x:c r="AG120" s="33" t="str">
        <x:f>IF(OR(AE120="",AF120=""),"",IF(AE120="Positif",IF(AF120="Positif","TP","FN"),IF(AF120="Positif","FP","TN")))</x:f>
      </x:c>
    </x:row>
    <x:row r="121">
      <x:c r="A121" s="32"/>
      <x:c r="B121" s="32"/>
      <x:c r="C121" s="32"/>
      <x:c r="D121" s="35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7"/>
      <x:c r="O121" s="32"/>
      <x:c r="P121" s="40"/>
      <x:c r="Q121" s="40"/>
      <x:c r="R121" s="41" t="str">
        <x:f>IF(OR(P121="",Q121=""),"",P121-Q121)</x:f>
      </x:c>
      <x:c r="S121" s="32"/>
      <x:c r="T121" s="32"/>
      <x:c r="U121" s="32"/>
      <x:c r="V121" s="32"/>
      <x:c r="W121" s="32"/>
      <x:c r="X121" s="32"/>
      <x:c r="Y121" s="43" t="str">
        <x:f>IF(OR(X121="",X121="Pending"),"",IF(X121="Rejected",0,IF(AND(U121="Ya",V121="Ya",W121="Ya"),1,"")))</x:f>
      </x:c>
      <x:c r="AA121" s="32"/>
      <x:c r="AB121" s="32"/>
      <x:c r="AC121" s="32"/>
      <x:c r="AD121" s="32"/>
      <x:c r="AE121" s="32"/>
      <x:c r="AF121" s="32"/>
      <x:c r="AG121" s="33" t="str">
        <x:f>IF(OR(AE121="",AF121=""),"",IF(AE121="Positif",IF(AF121="Positif","TP","FN"),IF(AF121="Positif","FP","TN")))</x:f>
      </x:c>
    </x:row>
    <x:row r="122">
      <x:c r="A122" s="32"/>
      <x:c r="B122" s="32"/>
      <x:c r="C122" s="32"/>
      <x:c r="D122" s="35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7"/>
      <x:c r="O122" s="32"/>
      <x:c r="P122" s="40"/>
      <x:c r="Q122" s="40"/>
      <x:c r="R122" s="41" t="str">
        <x:f>IF(OR(P122="",Q122=""),"",P122-Q122)</x:f>
      </x:c>
      <x:c r="S122" s="32"/>
      <x:c r="T122" s="32"/>
      <x:c r="U122" s="32"/>
      <x:c r="V122" s="32"/>
      <x:c r="W122" s="32"/>
      <x:c r="X122" s="32"/>
      <x:c r="Y122" s="43" t="str">
        <x:f>IF(OR(X122="",X122="Pending"),"",IF(X122="Rejected",0,IF(AND(U122="Ya",V122="Ya",W122="Ya"),1,"")))</x:f>
      </x:c>
      <x:c r="AA122" s="32"/>
      <x:c r="AB122" s="32"/>
      <x:c r="AC122" s="32"/>
      <x:c r="AD122" s="32"/>
      <x:c r="AE122" s="32"/>
      <x:c r="AF122" s="32"/>
      <x:c r="AG122" s="33" t="str">
        <x:f>IF(OR(AE122="",AF122=""),"",IF(AE122="Positif",IF(AF122="Positif","TP","FN"),IF(AF122="Positif","FP","TN")))</x:f>
      </x:c>
    </x:row>
    <x:row r="123">
      <x:c r="A123" s="32"/>
      <x:c r="B123" s="32"/>
      <x:c r="C123" s="32"/>
      <x:c r="D123" s="35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7"/>
      <x:c r="O123" s="32"/>
      <x:c r="P123" s="40"/>
      <x:c r="Q123" s="40"/>
      <x:c r="R123" s="41" t="str">
        <x:f>IF(OR(P123="",Q123=""),"",P123-Q123)</x:f>
      </x:c>
      <x:c r="S123" s="32"/>
      <x:c r="T123" s="32"/>
      <x:c r="U123" s="32"/>
      <x:c r="V123" s="32"/>
      <x:c r="W123" s="32"/>
      <x:c r="X123" s="32"/>
      <x:c r="Y123" s="43" t="str">
        <x:f>IF(OR(X123="",X123="Pending"),"",IF(X123="Rejected",0,IF(AND(U123="Ya",V123="Ya",W123="Ya"),1,"")))</x:f>
      </x:c>
      <x:c r="AA123" s="32"/>
      <x:c r="AB123" s="32"/>
      <x:c r="AC123" s="32"/>
      <x:c r="AD123" s="32"/>
      <x:c r="AE123" s="32"/>
      <x:c r="AF123" s="32"/>
      <x:c r="AG123" s="33" t="str">
        <x:f>IF(OR(AE123="",AF123=""),"",IF(AE123="Positif",IF(AF123="Positif","TP","FN"),IF(AF123="Positif","FP","TN")))</x:f>
      </x:c>
    </x:row>
    <x:row r="124">
      <x:c r="A124" s="32"/>
      <x:c r="B124" s="32"/>
      <x:c r="C124" s="32"/>
      <x:c r="D124" s="35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7"/>
      <x:c r="O124" s="32"/>
      <x:c r="P124" s="40"/>
      <x:c r="Q124" s="40"/>
      <x:c r="R124" s="41" t="str">
        <x:f>IF(OR(P124="",Q124=""),"",P124-Q124)</x:f>
      </x:c>
      <x:c r="S124" s="32"/>
      <x:c r="T124" s="32"/>
      <x:c r="U124" s="32"/>
      <x:c r="V124" s="32"/>
      <x:c r="W124" s="32"/>
      <x:c r="X124" s="32"/>
      <x:c r="Y124" s="43" t="str">
        <x:f>IF(OR(X124="",X124="Pending"),"",IF(X124="Rejected",0,IF(AND(U124="Ya",V124="Ya",W124="Ya"),1,"")))</x:f>
      </x:c>
      <x:c r="AA124" s="32"/>
      <x:c r="AB124" s="32"/>
      <x:c r="AC124" s="32"/>
      <x:c r="AD124" s="32"/>
      <x:c r="AE124" s="32"/>
      <x:c r="AF124" s="32"/>
      <x:c r="AG124" s="33" t="str">
        <x:f>IF(OR(AE124="",AF124=""),"",IF(AE124="Positif",IF(AF124="Positif","TP","FN"),IF(AF124="Positif","FP","TN")))</x:f>
      </x:c>
    </x:row>
    <x:row r="125">
      <x:c r="A125" s="32"/>
      <x:c r="B125" s="32"/>
      <x:c r="C125" s="32"/>
      <x:c r="D125" s="35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7"/>
      <x:c r="O125" s="32"/>
      <x:c r="P125" s="40"/>
      <x:c r="Q125" s="40"/>
      <x:c r="R125" s="41" t="str">
        <x:f>IF(OR(P125="",Q125=""),"",P125-Q125)</x:f>
      </x:c>
      <x:c r="S125" s="32"/>
      <x:c r="T125" s="32"/>
      <x:c r="U125" s="32"/>
      <x:c r="V125" s="32"/>
      <x:c r="W125" s="32"/>
      <x:c r="X125" s="32"/>
      <x:c r="Y125" s="43" t="str">
        <x:f>IF(OR(X125="",X125="Pending"),"",IF(X125="Rejected",0,IF(AND(U125="Ya",V125="Ya",W125="Ya"),1,"")))</x:f>
      </x:c>
      <x:c r="AA125" s="32"/>
      <x:c r="AB125" s="32"/>
      <x:c r="AC125" s="32"/>
      <x:c r="AD125" s="32"/>
      <x:c r="AE125" s="32"/>
      <x:c r="AF125" s="32"/>
      <x:c r="AG125" s="33" t="str">
        <x:f>IF(OR(AE125="",AF125=""),"",IF(AE125="Positif",IF(AF125="Positif","TP","FN"),IF(AF125="Positif","FP","TN")))</x:f>
      </x:c>
    </x:row>
    <x:row r="126">
      <x:c r="A126" s="32"/>
      <x:c r="B126" s="32"/>
      <x:c r="C126" s="32"/>
      <x:c r="D126" s="35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7"/>
      <x:c r="O126" s="32"/>
      <x:c r="P126" s="40"/>
      <x:c r="Q126" s="40"/>
      <x:c r="R126" s="41" t="str">
        <x:f>IF(OR(P126="",Q126=""),"",P126-Q126)</x:f>
      </x:c>
      <x:c r="S126" s="32"/>
      <x:c r="T126" s="32"/>
      <x:c r="U126" s="32"/>
      <x:c r="V126" s="32"/>
      <x:c r="W126" s="32"/>
      <x:c r="X126" s="32"/>
      <x:c r="Y126" s="43" t="str">
        <x:f>IF(OR(X126="",X126="Pending"),"",IF(X126="Rejected",0,IF(AND(U126="Ya",V126="Ya",W126="Ya"),1,"")))</x:f>
      </x:c>
      <x:c r="AA126" s="32"/>
      <x:c r="AB126" s="32"/>
      <x:c r="AC126" s="32"/>
      <x:c r="AD126" s="32"/>
      <x:c r="AE126" s="32"/>
      <x:c r="AF126" s="32"/>
      <x:c r="AG126" s="33" t="str">
        <x:f>IF(OR(AE126="",AF126=""),"",IF(AE126="Positif",IF(AF126="Positif","TP","FN"),IF(AF126="Positif","FP","TN")))</x:f>
      </x:c>
    </x:row>
    <x:row r="127">
      <x:c r="A127" s="32"/>
      <x:c r="B127" s="32"/>
      <x:c r="C127" s="32"/>
      <x:c r="D127" s="35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7"/>
      <x:c r="O127" s="32"/>
      <x:c r="P127" s="40"/>
      <x:c r="Q127" s="40"/>
      <x:c r="R127" s="41" t="str">
        <x:f>IF(OR(P127="",Q127=""),"",P127-Q127)</x:f>
      </x:c>
      <x:c r="S127" s="32"/>
      <x:c r="T127" s="32"/>
      <x:c r="U127" s="32"/>
      <x:c r="V127" s="32"/>
      <x:c r="W127" s="32"/>
      <x:c r="X127" s="32"/>
      <x:c r="Y127" s="43" t="str">
        <x:f>IF(OR(X127="",X127="Pending"),"",IF(X127="Rejected",0,IF(AND(U127="Ya",V127="Ya",W127="Ya"),1,"")))</x:f>
      </x:c>
      <x:c r="AA127" s="32"/>
      <x:c r="AB127" s="32"/>
      <x:c r="AC127" s="32"/>
      <x:c r="AD127" s="32"/>
      <x:c r="AE127" s="32"/>
      <x:c r="AF127" s="32"/>
      <x:c r="AG127" s="33" t="str">
        <x:f>IF(OR(AE127="",AF127=""),"",IF(AE127="Positif",IF(AF127="Positif","TP","FN"),IF(AF127="Positif","FP","TN")))</x:f>
      </x:c>
    </x:row>
    <x:row r="128">
      <x:c r="A128" s="32"/>
      <x:c r="B128" s="32"/>
      <x:c r="C128" s="32"/>
      <x:c r="D128" s="35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7"/>
      <x:c r="O128" s="32"/>
      <x:c r="P128" s="40"/>
      <x:c r="Q128" s="40"/>
      <x:c r="R128" s="41" t="str">
        <x:f>IF(OR(P128="",Q128=""),"",P128-Q128)</x:f>
      </x:c>
      <x:c r="S128" s="32"/>
      <x:c r="T128" s="32"/>
      <x:c r="U128" s="32"/>
      <x:c r="V128" s="32"/>
      <x:c r="W128" s="32"/>
      <x:c r="X128" s="32"/>
      <x:c r="Y128" s="43" t="str">
        <x:f>IF(OR(X128="",X128="Pending"),"",IF(X128="Rejected",0,IF(AND(U128="Ya",V128="Ya",W128="Ya"),1,"")))</x:f>
      </x:c>
      <x:c r="AA128" s="32"/>
      <x:c r="AB128" s="32"/>
      <x:c r="AC128" s="32"/>
      <x:c r="AD128" s="32"/>
      <x:c r="AE128" s="32"/>
      <x:c r="AF128" s="32"/>
      <x:c r="AG128" s="33" t="str">
        <x:f>IF(OR(AE128="",AF128=""),"",IF(AE128="Positif",IF(AF128="Positif","TP","FN"),IF(AF128="Positif","FP","TN")))</x:f>
      </x:c>
    </x:row>
    <x:row r="129">
      <x:c r="A129" s="32"/>
      <x:c r="B129" s="32"/>
      <x:c r="C129" s="32"/>
      <x:c r="D129" s="35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7"/>
      <x:c r="O129" s="32"/>
      <x:c r="P129" s="40"/>
      <x:c r="Q129" s="40"/>
      <x:c r="R129" s="41" t="str">
        <x:f>IF(OR(P129="",Q129=""),"",P129-Q129)</x:f>
      </x:c>
      <x:c r="S129" s="32"/>
      <x:c r="T129" s="32"/>
      <x:c r="U129" s="32"/>
      <x:c r="V129" s="32"/>
      <x:c r="W129" s="32"/>
      <x:c r="X129" s="32"/>
      <x:c r="Y129" s="43" t="str">
        <x:f>IF(OR(X129="",X129="Pending"),"",IF(X129="Rejected",0,IF(AND(U129="Ya",V129="Ya",W129="Ya"),1,"")))</x:f>
      </x:c>
      <x:c r="AA129" s="32"/>
      <x:c r="AB129" s="32"/>
      <x:c r="AC129" s="32"/>
      <x:c r="AD129" s="32"/>
      <x:c r="AE129" s="32"/>
      <x:c r="AF129" s="32"/>
      <x:c r="AG129" s="33" t="str">
        <x:f>IF(OR(AE129="",AF129=""),"",IF(AE129="Positif",IF(AF129="Positif","TP","FN"),IF(AF129="Positif","FP","TN")))</x:f>
      </x:c>
    </x:row>
    <x:row r="130">
      <x:c r="A130" s="32"/>
      <x:c r="B130" s="32"/>
      <x:c r="C130" s="32"/>
      <x:c r="D130" s="35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7"/>
      <x:c r="O130" s="32"/>
      <x:c r="P130" s="40"/>
      <x:c r="Q130" s="40"/>
      <x:c r="R130" s="41" t="str">
        <x:f>IF(OR(P130="",Q130=""),"",P130-Q130)</x:f>
      </x:c>
      <x:c r="S130" s="32"/>
      <x:c r="T130" s="32"/>
      <x:c r="U130" s="32"/>
      <x:c r="V130" s="32"/>
      <x:c r="W130" s="32"/>
      <x:c r="X130" s="32"/>
      <x:c r="Y130" s="43" t="str">
        <x:f>IF(OR(X130="",X130="Pending"),"",IF(X130="Rejected",0,IF(AND(U130="Ya",V130="Ya",W130="Ya"),1,"")))</x:f>
      </x:c>
      <x:c r="AA130" s="32"/>
      <x:c r="AB130" s="32"/>
      <x:c r="AC130" s="32"/>
      <x:c r="AD130" s="32"/>
      <x:c r="AE130" s="32"/>
      <x:c r="AF130" s="32"/>
      <x:c r="AG130" s="33" t="str">
        <x:f>IF(OR(AE130="",AF130=""),"",IF(AE130="Positif",IF(AF130="Positif","TP","FN"),IF(AF130="Positif","FP","TN")))</x:f>
      </x:c>
    </x:row>
    <x:row r="131">
      <x:c r="A131" s="32"/>
      <x:c r="B131" s="32"/>
      <x:c r="C131" s="32"/>
      <x:c r="D131" s="35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7"/>
      <x:c r="O131" s="32"/>
      <x:c r="P131" s="40"/>
      <x:c r="Q131" s="40"/>
      <x:c r="R131" s="41" t="str">
        <x:f>IF(OR(P131="",Q131=""),"",P131-Q131)</x:f>
      </x:c>
      <x:c r="S131" s="32"/>
      <x:c r="T131" s="32"/>
      <x:c r="U131" s="32"/>
      <x:c r="V131" s="32"/>
      <x:c r="W131" s="32"/>
      <x:c r="X131" s="32"/>
      <x:c r="Y131" s="43" t="str">
        <x:f>IF(OR(X131="",X131="Pending"),"",IF(X131="Rejected",0,IF(AND(U131="Ya",V131="Ya",W131="Ya"),1,"")))</x:f>
      </x:c>
      <x:c r="AA131" s="32"/>
      <x:c r="AB131" s="32"/>
      <x:c r="AC131" s="32"/>
      <x:c r="AD131" s="32"/>
      <x:c r="AE131" s="32"/>
      <x:c r="AF131" s="32"/>
      <x:c r="AG131" s="33" t="str">
        <x:f>IF(OR(AE131="",AF131=""),"",IF(AE131="Positif",IF(AF131="Positif","TP","FN"),IF(AF131="Positif","FP","TN")))</x:f>
      </x:c>
    </x:row>
    <x:row r="132">
      <x:c r="A132" s="32"/>
      <x:c r="B132" s="32"/>
      <x:c r="C132" s="32"/>
      <x:c r="D132" s="35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7"/>
      <x:c r="O132" s="32"/>
      <x:c r="P132" s="40"/>
      <x:c r="Q132" s="40"/>
      <x:c r="R132" s="41" t="str">
        <x:f>IF(OR(P132="",Q132=""),"",P132-Q132)</x:f>
      </x:c>
      <x:c r="S132" s="32"/>
      <x:c r="T132" s="32"/>
      <x:c r="U132" s="32"/>
      <x:c r="V132" s="32"/>
      <x:c r="W132" s="32"/>
      <x:c r="X132" s="32"/>
      <x:c r="Y132" s="43" t="str">
        <x:f>IF(OR(X132="",X132="Pending"),"",IF(X132="Rejected",0,IF(AND(U132="Ya",V132="Ya",W132="Ya"),1,"")))</x:f>
      </x:c>
      <x:c r="AA132" s="32"/>
      <x:c r="AB132" s="32"/>
      <x:c r="AC132" s="32"/>
      <x:c r="AD132" s="32"/>
      <x:c r="AE132" s="32"/>
      <x:c r="AF132" s="32"/>
      <x:c r="AG132" s="33" t="str">
        <x:f>IF(OR(AE132="",AF132=""),"",IF(AE132="Positif",IF(AF132="Positif","TP","FN"),IF(AF132="Positif","FP","TN")))</x:f>
      </x:c>
    </x:row>
    <x:row r="133">
      <x:c r="A133" s="32"/>
      <x:c r="B133" s="32"/>
      <x:c r="C133" s="32"/>
      <x:c r="D133" s="35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7"/>
      <x:c r="O133" s="32"/>
      <x:c r="P133" s="40"/>
      <x:c r="Q133" s="40"/>
      <x:c r="R133" s="41" t="str">
        <x:f>IF(OR(P133="",Q133=""),"",P133-Q133)</x:f>
      </x:c>
      <x:c r="S133" s="32"/>
      <x:c r="T133" s="32"/>
      <x:c r="U133" s="32"/>
      <x:c r="V133" s="32"/>
      <x:c r="W133" s="32"/>
      <x:c r="X133" s="32"/>
      <x:c r="Y133" s="43" t="str">
        <x:f>IF(OR(X133="",X133="Pending"),"",IF(X133="Rejected",0,IF(AND(U133="Ya",V133="Ya",W133="Ya"),1,"")))</x:f>
      </x:c>
      <x:c r="AA133" s="32"/>
      <x:c r="AB133" s="32"/>
      <x:c r="AC133" s="32"/>
      <x:c r="AD133" s="32"/>
      <x:c r="AE133" s="32"/>
      <x:c r="AF133" s="32"/>
      <x:c r="AG133" s="33" t="str">
        <x:f>IF(OR(AE133="",AF133=""),"",IF(AE133="Positif",IF(AF133="Positif","TP","FN"),IF(AF133="Positif","FP","TN")))</x:f>
      </x:c>
    </x:row>
    <x:row r="134">
      <x:c r="A134" s="32"/>
      <x:c r="B134" s="32"/>
      <x:c r="C134" s="32"/>
      <x:c r="D134" s="35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7"/>
      <x:c r="O134" s="32"/>
      <x:c r="P134" s="40"/>
      <x:c r="Q134" s="40"/>
      <x:c r="R134" s="41" t="str">
        <x:f>IF(OR(P134="",Q134=""),"",P134-Q134)</x:f>
      </x:c>
      <x:c r="S134" s="32"/>
      <x:c r="T134" s="32"/>
      <x:c r="U134" s="32"/>
      <x:c r="V134" s="32"/>
      <x:c r="W134" s="32"/>
      <x:c r="X134" s="32"/>
      <x:c r="Y134" s="43" t="str">
        <x:f>IF(OR(X134="",X134="Pending"),"",IF(X134="Rejected",0,IF(AND(U134="Ya",V134="Ya",W134="Ya"),1,"")))</x:f>
      </x:c>
      <x:c r="AA134" s="32"/>
      <x:c r="AB134" s="32"/>
      <x:c r="AC134" s="32"/>
      <x:c r="AD134" s="32"/>
      <x:c r="AE134" s="32"/>
      <x:c r="AF134" s="32"/>
      <x:c r="AG134" s="33" t="str">
        <x:f>IF(OR(AE134="",AF134=""),"",IF(AE134="Positif",IF(AF134="Positif","TP","FN"),IF(AF134="Positif","FP","TN")))</x:f>
      </x:c>
    </x:row>
    <x:row r="135">
      <x:c r="A135" s="32"/>
      <x:c r="B135" s="32"/>
      <x:c r="C135" s="32"/>
      <x:c r="D135" s="35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7"/>
      <x:c r="O135" s="32"/>
      <x:c r="P135" s="40"/>
      <x:c r="Q135" s="40"/>
      <x:c r="R135" s="41" t="str">
        <x:f>IF(OR(P135="",Q135=""),"",P135-Q135)</x:f>
      </x:c>
      <x:c r="S135" s="32"/>
      <x:c r="T135" s="32"/>
      <x:c r="U135" s="32"/>
      <x:c r="V135" s="32"/>
      <x:c r="W135" s="32"/>
      <x:c r="X135" s="32"/>
      <x:c r="Y135" s="43" t="str">
        <x:f>IF(OR(X135="",X135="Pending"),"",IF(X135="Rejected",0,IF(AND(U135="Ya",V135="Ya",W135="Ya"),1,"")))</x:f>
      </x:c>
      <x:c r="AA135" s="32"/>
      <x:c r="AB135" s="32"/>
      <x:c r="AC135" s="32"/>
      <x:c r="AD135" s="32"/>
      <x:c r="AE135" s="32"/>
      <x:c r="AF135" s="32"/>
      <x:c r="AG135" s="33" t="str">
        <x:f>IF(OR(AE135="",AF135=""),"",IF(AE135="Positif",IF(AF135="Positif","TP","FN"),IF(AF135="Positif","FP","TN")))</x:f>
      </x:c>
    </x:row>
    <x:row r="136">
      <x:c r="A136" s="32"/>
      <x:c r="B136" s="32"/>
      <x:c r="C136" s="32"/>
      <x:c r="D136" s="35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7"/>
      <x:c r="O136" s="32"/>
      <x:c r="P136" s="40"/>
      <x:c r="Q136" s="40"/>
      <x:c r="R136" s="41" t="str">
        <x:f>IF(OR(P136="",Q136=""),"",P136-Q136)</x:f>
      </x:c>
      <x:c r="S136" s="32"/>
      <x:c r="T136" s="32"/>
      <x:c r="U136" s="32"/>
      <x:c r="V136" s="32"/>
      <x:c r="W136" s="32"/>
      <x:c r="X136" s="32"/>
      <x:c r="Y136" s="43" t="str">
        <x:f>IF(OR(X136="",X136="Pending"),"",IF(X136="Rejected",0,IF(AND(U136="Ya",V136="Ya",W136="Ya"),1,"")))</x:f>
      </x:c>
      <x:c r="AA136" s="32"/>
      <x:c r="AB136" s="32"/>
      <x:c r="AC136" s="32"/>
      <x:c r="AD136" s="32"/>
      <x:c r="AE136" s="32"/>
      <x:c r="AF136" s="32"/>
      <x:c r="AG136" s="33" t="str">
        <x:f>IF(OR(AE136="",AF136=""),"",IF(AE136="Positif",IF(AF136="Positif","TP","FN"),IF(AF136="Positif","FP","TN")))</x:f>
      </x:c>
    </x:row>
    <x:row r="137">
      <x:c r="A137" s="32"/>
      <x:c r="B137" s="32"/>
      <x:c r="C137" s="32"/>
      <x:c r="D137" s="35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7"/>
      <x:c r="O137" s="32"/>
      <x:c r="P137" s="40"/>
      <x:c r="Q137" s="40"/>
      <x:c r="R137" s="41" t="str">
        <x:f>IF(OR(P137="",Q137=""),"",P137-Q137)</x:f>
      </x:c>
      <x:c r="S137" s="32"/>
      <x:c r="T137" s="32"/>
      <x:c r="U137" s="32"/>
      <x:c r="V137" s="32"/>
      <x:c r="W137" s="32"/>
      <x:c r="X137" s="32"/>
      <x:c r="Y137" s="43" t="str">
        <x:f>IF(OR(X137="",X137="Pending"),"",IF(X137="Rejected",0,IF(AND(U137="Ya",V137="Ya",W137="Ya"),1,"")))</x:f>
      </x:c>
      <x:c r="AA137" s="32"/>
      <x:c r="AB137" s="32"/>
      <x:c r="AC137" s="32"/>
      <x:c r="AD137" s="32"/>
      <x:c r="AE137" s="32"/>
      <x:c r="AF137" s="32"/>
      <x:c r="AG137" s="33" t="str">
        <x:f>IF(OR(AE137="",AF137=""),"",IF(AE137="Positif",IF(AF137="Positif","TP","FN"),IF(AF137="Positif","FP","TN")))</x:f>
      </x:c>
    </x:row>
    <x:row r="138">
      <x:c r="A138" s="32"/>
      <x:c r="B138" s="32"/>
      <x:c r="C138" s="32"/>
      <x:c r="D138" s="35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7"/>
      <x:c r="O138" s="32"/>
      <x:c r="P138" s="40"/>
      <x:c r="Q138" s="40"/>
      <x:c r="R138" s="41" t="str">
        <x:f>IF(OR(P138="",Q138=""),"",P138-Q138)</x:f>
      </x:c>
      <x:c r="S138" s="32"/>
      <x:c r="T138" s="32"/>
      <x:c r="U138" s="32"/>
      <x:c r="V138" s="32"/>
      <x:c r="W138" s="32"/>
      <x:c r="X138" s="32"/>
      <x:c r="Y138" s="43" t="str">
        <x:f>IF(OR(X138="",X138="Pending"),"",IF(X138="Rejected",0,IF(AND(U138="Ya",V138="Ya",W138="Ya"),1,"")))</x:f>
      </x:c>
      <x:c r="AA138" s="32"/>
      <x:c r="AB138" s="32"/>
      <x:c r="AC138" s="32"/>
      <x:c r="AD138" s="32"/>
      <x:c r="AE138" s="32"/>
      <x:c r="AF138" s="32"/>
      <x:c r="AG138" s="33" t="str">
        <x:f>IF(OR(AE138="",AF138=""),"",IF(AE138="Positif",IF(AF138="Positif","TP","FN"),IF(AF138="Positif","FP","TN")))</x:f>
      </x:c>
    </x:row>
    <x:row r="139">
      <x:c r="A139" s="32"/>
      <x:c r="B139" s="32"/>
      <x:c r="C139" s="32"/>
      <x:c r="D139" s="35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7"/>
      <x:c r="O139" s="32"/>
      <x:c r="P139" s="40"/>
      <x:c r="Q139" s="40"/>
      <x:c r="R139" s="41" t="str">
        <x:f>IF(OR(P139="",Q139=""),"",P139-Q139)</x:f>
      </x:c>
      <x:c r="S139" s="32"/>
      <x:c r="T139" s="32"/>
      <x:c r="U139" s="32"/>
      <x:c r="V139" s="32"/>
      <x:c r="W139" s="32"/>
      <x:c r="X139" s="32"/>
      <x:c r="Y139" s="43" t="str">
        <x:f>IF(OR(X139="",X139="Pending"),"",IF(X139="Rejected",0,IF(AND(U139="Ya",V139="Ya",W139="Ya"),1,"")))</x:f>
      </x:c>
      <x:c r="AA139" s="32"/>
      <x:c r="AB139" s="32"/>
      <x:c r="AC139" s="32"/>
      <x:c r="AD139" s="32"/>
      <x:c r="AE139" s="32"/>
      <x:c r="AF139" s="32"/>
      <x:c r="AG139" s="33" t="str">
        <x:f>IF(OR(AE139="",AF139=""),"",IF(AE139="Positif",IF(AF139="Positif","TP","FN"),IF(AF139="Positif","FP","TN")))</x:f>
      </x:c>
    </x:row>
    <x:row r="140">
      <x:c r="A140" s="32"/>
      <x:c r="B140" s="32"/>
      <x:c r="C140" s="32"/>
      <x:c r="D140" s="35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7"/>
      <x:c r="O140" s="32"/>
      <x:c r="P140" s="40"/>
      <x:c r="Q140" s="40"/>
      <x:c r="R140" s="41" t="str">
        <x:f>IF(OR(P140="",Q140=""),"",P140-Q140)</x:f>
      </x:c>
      <x:c r="S140" s="32"/>
      <x:c r="T140" s="32"/>
      <x:c r="U140" s="32"/>
      <x:c r="V140" s="32"/>
      <x:c r="W140" s="32"/>
      <x:c r="X140" s="32"/>
      <x:c r="Y140" s="43" t="str">
        <x:f>IF(OR(X140="",X140="Pending"),"",IF(X140="Rejected",0,IF(AND(U140="Ya",V140="Ya",W140="Ya"),1,"")))</x:f>
      </x:c>
      <x:c r="AA140" s="32"/>
      <x:c r="AB140" s="32"/>
      <x:c r="AC140" s="32"/>
      <x:c r="AD140" s="32"/>
      <x:c r="AE140" s="32"/>
      <x:c r="AF140" s="32"/>
      <x:c r="AG140" s="33" t="str">
        <x:f>IF(OR(AE140="",AF140=""),"",IF(AE140="Positif",IF(AF140="Positif","TP","FN"),IF(AF140="Positif","FP","TN")))</x:f>
      </x:c>
    </x:row>
    <x:row r="141">
      <x:c r="A141" s="32"/>
      <x:c r="B141" s="32"/>
      <x:c r="C141" s="32"/>
      <x:c r="D141" s="35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7"/>
      <x:c r="O141" s="32"/>
      <x:c r="P141" s="40"/>
      <x:c r="Q141" s="40"/>
      <x:c r="R141" s="41" t="str">
        <x:f>IF(OR(P141="",Q141=""),"",P141-Q141)</x:f>
      </x:c>
      <x:c r="S141" s="32"/>
      <x:c r="T141" s="32"/>
      <x:c r="U141" s="32"/>
      <x:c r="V141" s="32"/>
      <x:c r="W141" s="32"/>
      <x:c r="X141" s="32"/>
      <x:c r="Y141" s="43" t="str">
        <x:f>IF(OR(X141="",X141="Pending"),"",IF(X141="Rejected",0,IF(AND(U141="Ya",V141="Ya",W141="Ya"),1,"")))</x:f>
      </x:c>
      <x:c r="AA141" s="32"/>
      <x:c r="AB141" s="32"/>
      <x:c r="AC141" s="32"/>
      <x:c r="AD141" s="32"/>
      <x:c r="AE141" s="32"/>
      <x:c r="AF141" s="32"/>
      <x:c r="AG141" s="33" t="str">
        <x:f>IF(OR(AE141="",AF141=""),"",IF(AE141="Positif",IF(AF141="Positif","TP","FN"),IF(AF141="Positif","FP","TN")))</x:f>
      </x:c>
    </x:row>
    <x:row r="142">
      <x:c r="A142" s="32"/>
      <x:c r="B142" s="32"/>
      <x:c r="C142" s="32"/>
      <x:c r="D142" s="35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7"/>
      <x:c r="O142" s="32"/>
      <x:c r="P142" s="40"/>
      <x:c r="Q142" s="40"/>
      <x:c r="R142" s="41" t="str">
        <x:f>IF(OR(P142="",Q142=""),"",P142-Q142)</x:f>
      </x:c>
      <x:c r="S142" s="32"/>
      <x:c r="T142" s="32"/>
      <x:c r="U142" s="32"/>
      <x:c r="V142" s="32"/>
      <x:c r="W142" s="32"/>
      <x:c r="X142" s="32"/>
      <x:c r="Y142" s="43" t="str">
        <x:f>IF(OR(X142="",X142="Pending"),"",IF(X142="Rejected",0,IF(AND(U142="Ya",V142="Ya",W142="Ya"),1,"")))</x:f>
      </x:c>
      <x:c r="AA142" s="32"/>
      <x:c r="AB142" s="32"/>
      <x:c r="AC142" s="32"/>
      <x:c r="AD142" s="32"/>
      <x:c r="AE142" s="32"/>
      <x:c r="AF142" s="32"/>
      <x:c r="AG142" s="33" t="str">
        <x:f>IF(OR(AE142="",AF142=""),"",IF(AE142="Positif",IF(AF142="Positif","TP","FN"),IF(AF142="Positif","FP","TN")))</x:f>
      </x:c>
    </x:row>
    <x:row r="143">
      <x:c r="A143" s="32"/>
      <x:c r="B143" s="32"/>
      <x:c r="C143" s="32"/>
      <x:c r="D143" s="35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7"/>
      <x:c r="O143" s="32"/>
      <x:c r="P143" s="40"/>
      <x:c r="Q143" s="40"/>
      <x:c r="R143" s="41" t="str">
        <x:f>IF(OR(P143="",Q143=""),"",P143-Q143)</x:f>
      </x:c>
      <x:c r="S143" s="32"/>
      <x:c r="T143" s="32"/>
      <x:c r="U143" s="32"/>
      <x:c r="V143" s="32"/>
      <x:c r="W143" s="32"/>
      <x:c r="X143" s="32"/>
      <x:c r="Y143" s="43" t="str">
        <x:f>IF(OR(X143="",X143="Pending"),"",IF(X143="Rejected",0,IF(AND(U143="Ya",V143="Ya",W143="Ya"),1,"")))</x:f>
      </x:c>
      <x:c r="AA143" s="32"/>
      <x:c r="AB143" s="32"/>
      <x:c r="AC143" s="32"/>
      <x:c r="AD143" s="32"/>
      <x:c r="AE143" s="32"/>
      <x:c r="AF143" s="32"/>
      <x:c r="AG143" s="33" t="str">
        <x:f>IF(OR(AE143="",AF143=""),"",IF(AE143="Positif",IF(AF143="Positif","TP","FN"),IF(AF143="Positif","FP","TN")))</x:f>
      </x:c>
    </x:row>
    <x:row r="144">
      <x:c r="A144" s="32"/>
      <x:c r="B144" s="32"/>
      <x:c r="C144" s="32"/>
      <x:c r="D144" s="35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7"/>
      <x:c r="O144" s="32"/>
      <x:c r="P144" s="40"/>
      <x:c r="Q144" s="40"/>
      <x:c r="R144" s="41" t="str">
        <x:f>IF(OR(P144="",Q144=""),"",P144-Q144)</x:f>
      </x:c>
      <x:c r="S144" s="32"/>
      <x:c r="T144" s="32"/>
      <x:c r="U144" s="32"/>
      <x:c r="V144" s="32"/>
      <x:c r="W144" s="32"/>
      <x:c r="X144" s="32"/>
      <x:c r="Y144" s="43" t="str">
        <x:f>IF(OR(X144="",X144="Pending"),"",IF(X144="Rejected",0,IF(AND(U144="Ya",V144="Ya",W144="Ya"),1,"")))</x:f>
      </x:c>
      <x:c r="AA144" s="32"/>
      <x:c r="AB144" s="32"/>
      <x:c r="AC144" s="32"/>
      <x:c r="AD144" s="32"/>
      <x:c r="AE144" s="32"/>
      <x:c r="AF144" s="32"/>
      <x:c r="AG144" s="33" t="str">
        <x:f>IF(OR(AE144="",AF144=""),"",IF(AE144="Positif",IF(AF144="Positif","TP","FN"),IF(AF144="Positif","FP","TN")))</x:f>
      </x:c>
    </x:row>
    <x:row r="145">
      <x:c r="A145" s="32"/>
      <x:c r="B145" s="32"/>
      <x:c r="C145" s="32"/>
      <x:c r="D145" s="35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7"/>
      <x:c r="O145" s="32"/>
      <x:c r="P145" s="40"/>
      <x:c r="Q145" s="40"/>
      <x:c r="R145" s="41" t="str">
        <x:f>IF(OR(P145="",Q145=""),"",P145-Q145)</x:f>
      </x:c>
      <x:c r="S145" s="32"/>
      <x:c r="T145" s="32"/>
      <x:c r="U145" s="32"/>
      <x:c r="V145" s="32"/>
      <x:c r="W145" s="32"/>
      <x:c r="X145" s="32"/>
      <x:c r="Y145" s="43" t="str">
        <x:f>IF(OR(X145="",X145="Pending"),"",IF(X145="Rejected",0,IF(AND(U145="Ya",V145="Ya",W145="Ya"),1,"")))</x:f>
      </x:c>
      <x:c r="AA145" s="32"/>
      <x:c r="AB145" s="32"/>
      <x:c r="AC145" s="32"/>
      <x:c r="AD145" s="32"/>
      <x:c r="AE145" s="32"/>
      <x:c r="AF145" s="32"/>
      <x:c r="AG145" s="33" t="str">
        <x:f>IF(OR(AE145="",AF145=""),"",IF(AE145="Positif",IF(AF145="Positif","TP","FN"),IF(AF145="Positif","FP","TN")))</x:f>
      </x:c>
    </x:row>
    <x:row r="146">
      <x:c r="A146" s="32"/>
      <x:c r="B146" s="32"/>
      <x:c r="C146" s="32"/>
      <x:c r="D146" s="35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7"/>
      <x:c r="O146" s="32"/>
      <x:c r="P146" s="40"/>
      <x:c r="Q146" s="40"/>
      <x:c r="R146" s="41" t="str">
        <x:f>IF(OR(P146="",Q146=""),"",P146-Q146)</x:f>
      </x:c>
      <x:c r="S146" s="32"/>
      <x:c r="T146" s="32"/>
      <x:c r="U146" s="32"/>
      <x:c r="V146" s="32"/>
      <x:c r="W146" s="32"/>
      <x:c r="X146" s="32"/>
      <x:c r="Y146" s="43" t="str">
        <x:f>IF(OR(X146="",X146="Pending"),"",IF(X146="Rejected",0,IF(AND(U146="Ya",V146="Ya",W146="Ya"),1,"")))</x:f>
      </x:c>
      <x:c r="AA146" s="32"/>
      <x:c r="AB146" s="32"/>
      <x:c r="AC146" s="32"/>
      <x:c r="AD146" s="32"/>
      <x:c r="AE146" s="32"/>
      <x:c r="AF146" s="32"/>
      <x:c r="AG146" s="33" t="str">
        <x:f>IF(OR(AE146="",AF146=""),"",IF(AE146="Positif",IF(AF146="Positif","TP","FN"),IF(AF146="Positif","FP","TN")))</x:f>
      </x:c>
    </x:row>
    <x:row r="147">
      <x:c r="A147" s="32"/>
      <x:c r="B147" s="32"/>
      <x:c r="C147" s="32"/>
      <x:c r="D147" s="35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7"/>
      <x:c r="O147" s="32"/>
      <x:c r="P147" s="40"/>
      <x:c r="Q147" s="40"/>
      <x:c r="R147" s="41" t="str">
        <x:f>IF(OR(P147="",Q147=""),"",P147-Q147)</x:f>
      </x:c>
      <x:c r="S147" s="32"/>
      <x:c r="T147" s="32"/>
      <x:c r="U147" s="32"/>
      <x:c r="V147" s="32"/>
      <x:c r="W147" s="32"/>
      <x:c r="X147" s="32"/>
      <x:c r="Y147" s="43" t="str">
        <x:f>IF(OR(X147="",X147="Pending"),"",IF(X147="Rejected",0,IF(AND(U147="Ya",V147="Ya",W147="Ya"),1,"")))</x:f>
      </x:c>
      <x:c r="AA147" s="32"/>
      <x:c r="AB147" s="32"/>
      <x:c r="AC147" s="32"/>
      <x:c r="AD147" s="32"/>
      <x:c r="AE147" s="32"/>
      <x:c r="AF147" s="32"/>
      <x:c r="AG147" s="33" t="str">
        <x:f>IF(OR(AE147="",AF147=""),"",IF(AE147="Positif",IF(AF147="Positif","TP","FN"),IF(AF147="Positif","FP","TN")))</x:f>
      </x:c>
    </x:row>
    <x:row r="148">
      <x:c r="A148" s="32"/>
      <x:c r="B148" s="32"/>
      <x:c r="C148" s="32"/>
      <x:c r="D148" s="35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7"/>
      <x:c r="O148" s="32"/>
      <x:c r="P148" s="40"/>
      <x:c r="Q148" s="40"/>
      <x:c r="R148" s="41" t="str">
        <x:f>IF(OR(P148="",Q148=""),"",P148-Q148)</x:f>
      </x:c>
      <x:c r="S148" s="32"/>
      <x:c r="T148" s="32"/>
      <x:c r="U148" s="32"/>
      <x:c r="V148" s="32"/>
      <x:c r="W148" s="32"/>
      <x:c r="X148" s="32"/>
      <x:c r="Y148" s="43" t="str">
        <x:f>IF(OR(X148="",X148="Pending"),"",IF(X148="Rejected",0,IF(AND(U148="Ya",V148="Ya",W148="Ya"),1,"")))</x:f>
      </x:c>
      <x:c r="AA148" s="32"/>
      <x:c r="AB148" s="32"/>
      <x:c r="AC148" s="32"/>
      <x:c r="AD148" s="32"/>
      <x:c r="AE148" s="32"/>
      <x:c r="AF148" s="32"/>
      <x:c r="AG148" s="33" t="str">
        <x:f>IF(OR(AE148="",AF148=""),"",IF(AE148="Positif",IF(AF148="Positif","TP","FN"),IF(AF148="Positif","FP","TN")))</x:f>
      </x:c>
    </x:row>
    <x:row r="149">
      <x:c r="A149" s="32"/>
      <x:c r="B149" s="32"/>
      <x:c r="C149" s="32"/>
      <x:c r="D149" s="35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7"/>
      <x:c r="O149" s="32"/>
      <x:c r="P149" s="40"/>
      <x:c r="Q149" s="40"/>
      <x:c r="R149" s="41" t="str">
        <x:f>IF(OR(P149="",Q149=""),"",P149-Q149)</x:f>
      </x:c>
      <x:c r="S149" s="32"/>
      <x:c r="T149" s="32"/>
      <x:c r="U149" s="32"/>
      <x:c r="V149" s="32"/>
      <x:c r="W149" s="32"/>
      <x:c r="X149" s="32"/>
      <x:c r="Y149" s="43" t="str">
        <x:f>IF(OR(X149="",X149="Pending"),"",IF(X149="Rejected",0,IF(AND(U149="Ya",V149="Ya",W149="Ya"),1,"")))</x:f>
      </x:c>
      <x:c r="AA149" s="32"/>
      <x:c r="AB149" s="32"/>
      <x:c r="AC149" s="32"/>
      <x:c r="AD149" s="32"/>
      <x:c r="AE149" s="32"/>
      <x:c r="AF149" s="32"/>
      <x:c r="AG149" s="33" t="str">
        <x:f>IF(OR(AE149="",AF149=""),"",IF(AE149="Positif",IF(AF149="Positif","TP","FN"),IF(AF149="Positif","FP","TN")))</x:f>
      </x:c>
    </x:row>
    <x:row r="150">
      <x:c r="A150" s="32"/>
      <x:c r="B150" s="32"/>
      <x:c r="C150" s="32"/>
      <x:c r="D150" s="35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7"/>
      <x:c r="O150" s="32"/>
      <x:c r="P150" s="40"/>
      <x:c r="Q150" s="40"/>
      <x:c r="R150" s="41" t="str">
        <x:f>IF(OR(P150="",Q150=""),"",P150-Q150)</x:f>
      </x:c>
      <x:c r="S150" s="32"/>
      <x:c r="T150" s="32"/>
      <x:c r="U150" s="32"/>
      <x:c r="V150" s="32"/>
      <x:c r="W150" s="32"/>
      <x:c r="X150" s="32"/>
      <x:c r="Y150" s="43" t="str">
        <x:f>IF(OR(X150="",X150="Pending"),"",IF(X150="Rejected",0,IF(AND(U150="Ya",V150="Ya",W150="Ya"),1,"")))</x:f>
      </x:c>
      <x:c r="AA150" s="32"/>
      <x:c r="AB150" s="32"/>
      <x:c r="AC150" s="32"/>
      <x:c r="AD150" s="32"/>
      <x:c r="AE150" s="32"/>
      <x:c r="AF150" s="32"/>
      <x:c r="AG150" s="33" t="str">
        <x:f>IF(OR(AE150="",AF150=""),"",IF(AE150="Positif",IF(AF150="Positif","TP","FN"),IF(AF150="Positif","FP","TN")))</x:f>
      </x:c>
    </x:row>
    <x:row r="151">
      <x:c r="A151" s="32"/>
      <x:c r="B151" s="32"/>
      <x:c r="C151" s="32"/>
      <x:c r="D151" s="35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7"/>
      <x:c r="O151" s="32"/>
      <x:c r="P151" s="40"/>
      <x:c r="Q151" s="40"/>
      <x:c r="R151" s="41" t="str">
        <x:f>IF(OR(P151="",Q151=""),"",P151-Q151)</x:f>
      </x:c>
      <x:c r="S151" s="32"/>
      <x:c r="T151" s="32"/>
      <x:c r="U151" s="32"/>
      <x:c r="V151" s="32"/>
      <x:c r="W151" s="32"/>
      <x:c r="X151" s="32"/>
      <x:c r="Y151" s="43" t="str">
        <x:f>IF(OR(X151="",X151="Pending"),"",IF(X151="Rejected",0,IF(AND(U151="Ya",V151="Ya",W151="Ya"),1,"")))</x:f>
      </x:c>
      <x:c r="AA151" s="32"/>
      <x:c r="AB151" s="32"/>
      <x:c r="AC151" s="32"/>
      <x:c r="AD151" s="32"/>
      <x:c r="AE151" s="32"/>
      <x:c r="AF151" s="32"/>
      <x:c r="AG151" s="33" t="str">
        <x:f>IF(OR(AE151="",AF151=""),"",IF(AE151="Positif",IF(AF151="Positif","TP","FN"),IF(AF151="Positif","FP","TN")))</x:f>
      </x:c>
    </x:row>
    <x:row r="152">
      <x:c r="A152" s="32"/>
      <x:c r="B152" s="32"/>
      <x:c r="C152" s="32"/>
      <x:c r="D152" s="35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7"/>
      <x:c r="O152" s="32"/>
      <x:c r="P152" s="40"/>
      <x:c r="Q152" s="40"/>
      <x:c r="R152" s="41" t="str">
        <x:f>IF(OR(P152="",Q152=""),"",P152-Q152)</x:f>
      </x:c>
      <x:c r="S152" s="32"/>
      <x:c r="T152" s="32"/>
      <x:c r="U152" s="32"/>
      <x:c r="V152" s="32"/>
      <x:c r="W152" s="32"/>
      <x:c r="X152" s="32"/>
      <x:c r="Y152" s="43" t="str">
        <x:f>IF(OR(X152="",X152="Pending"),"",IF(X152="Rejected",0,IF(AND(U152="Ya",V152="Ya",W152="Ya"),1,"")))</x:f>
      </x:c>
      <x:c r="AA152" s="32"/>
      <x:c r="AB152" s="32"/>
      <x:c r="AC152" s="32"/>
      <x:c r="AD152" s="32"/>
      <x:c r="AE152" s="32"/>
      <x:c r="AF152" s="32"/>
      <x:c r="AG152" s="33" t="str">
        <x:f>IF(OR(AE152="",AF152=""),"",IF(AE152="Positif",IF(AF152="Positif","TP","FN"),IF(AF152="Positif","FP","TN")))</x:f>
      </x:c>
    </x:row>
    <x:row r="153">
      <x:c r="A153" s="32"/>
      <x:c r="B153" s="32"/>
      <x:c r="C153" s="32"/>
      <x:c r="D153" s="35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7"/>
      <x:c r="O153" s="32"/>
      <x:c r="P153" s="40"/>
      <x:c r="Q153" s="40"/>
      <x:c r="R153" s="41" t="str">
        <x:f>IF(OR(P153="",Q153=""),"",P153-Q153)</x:f>
      </x:c>
      <x:c r="S153" s="32"/>
      <x:c r="T153" s="32"/>
      <x:c r="U153" s="32"/>
      <x:c r="V153" s="32"/>
      <x:c r="W153" s="32"/>
      <x:c r="X153" s="32"/>
      <x:c r="Y153" s="43" t="str">
        <x:f>IF(OR(X153="",X153="Pending"),"",IF(X153="Rejected",0,IF(AND(U153="Ya",V153="Ya",W153="Ya"),1,"")))</x:f>
      </x:c>
      <x:c r="AA153" s="32"/>
      <x:c r="AB153" s="32"/>
      <x:c r="AC153" s="32"/>
      <x:c r="AD153" s="32"/>
      <x:c r="AE153" s="32"/>
      <x:c r="AF153" s="32"/>
      <x:c r="AG153" s="33" t="str">
        <x:f>IF(OR(AE153="",AF153=""),"",IF(AE153="Positif",IF(AF153="Positif","TP","FN"),IF(AF153="Positif","FP","TN")))</x:f>
      </x:c>
    </x:row>
    <x:row r="154">
      <x:c r="A154" s="32"/>
      <x:c r="B154" s="32"/>
      <x:c r="C154" s="32"/>
      <x:c r="D154" s="35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7"/>
      <x:c r="O154" s="32"/>
      <x:c r="P154" s="40"/>
      <x:c r="Q154" s="40"/>
      <x:c r="R154" s="41" t="str">
        <x:f>IF(OR(P154="",Q154=""),"",P154-Q154)</x:f>
      </x:c>
      <x:c r="S154" s="32"/>
      <x:c r="T154" s="32"/>
      <x:c r="U154" s="32"/>
      <x:c r="V154" s="32"/>
      <x:c r="W154" s="32"/>
      <x:c r="X154" s="32"/>
      <x:c r="Y154" s="43" t="str">
        <x:f>IF(OR(X154="",X154="Pending"),"",IF(X154="Rejected",0,IF(AND(U154="Ya",V154="Ya",W154="Ya"),1,"")))</x:f>
      </x:c>
      <x:c r="AA154" s="32"/>
      <x:c r="AB154" s="32"/>
      <x:c r="AC154" s="32"/>
      <x:c r="AD154" s="32"/>
      <x:c r="AE154" s="32"/>
      <x:c r="AF154" s="32"/>
      <x:c r="AG154" s="33" t="str">
        <x:f>IF(OR(AE154="",AF154=""),"",IF(AE154="Positif",IF(AF154="Positif","TP","FN"),IF(AF154="Positif","FP","TN")))</x:f>
      </x:c>
    </x:row>
    <x:row r="155">
      <x:c r="A155" s="32"/>
      <x:c r="B155" s="32"/>
      <x:c r="C155" s="32"/>
      <x:c r="D155" s="35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7"/>
      <x:c r="O155" s="32"/>
      <x:c r="P155" s="40"/>
      <x:c r="Q155" s="40"/>
      <x:c r="R155" s="41" t="str">
        <x:f>IF(OR(P155="",Q155=""),"",P155-Q155)</x:f>
      </x:c>
      <x:c r="S155" s="32"/>
      <x:c r="T155" s="32"/>
      <x:c r="U155" s="32"/>
      <x:c r="V155" s="32"/>
      <x:c r="W155" s="32"/>
      <x:c r="X155" s="32"/>
      <x:c r="Y155" s="43" t="str">
        <x:f>IF(OR(X155="",X155="Pending"),"",IF(X155="Rejected",0,IF(AND(U155="Ya",V155="Ya",W155="Ya"),1,"")))</x:f>
      </x:c>
      <x:c r="AA155" s="32"/>
      <x:c r="AB155" s="32"/>
      <x:c r="AC155" s="32"/>
      <x:c r="AD155" s="32"/>
      <x:c r="AE155" s="32"/>
      <x:c r="AF155" s="32"/>
      <x:c r="AG155" s="33" t="str">
        <x:f>IF(OR(AE155="",AF155=""),"",IF(AE155="Positif",IF(AF155="Positif","TP","FN"),IF(AF155="Positif","FP","TN")))</x:f>
      </x:c>
    </x:row>
    <x:row r="156">
      <x:c r="A156" s="32"/>
      <x:c r="B156" s="32"/>
      <x:c r="C156" s="32"/>
      <x:c r="D156" s="35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7"/>
      <x:c r="O156" s="32"/>
      <x:c r="P156" s="40"/>
      <x:c r="Q156" s="40"/>
      <x:c r="R156" s="41" t="str">
        <x:f>IF(OR(P156="",Q156=""),"",P156-Q156)</x:f>
      </x:c>
      <x:c r="S156" s="32"/>
      <x:c r="T156" s="32"/>
      <x:c r="U156" s="32"/>
      <x:c r="V156" s="32"/>
      <x:c r="W156" s="32"/>
      <x:c r="X156" s="32"/>
      <x:c r="Y156" s="43" t="str">
        <x:f>IF(OR(X156="",X156="Pending"),"",IF(X156="Rejected",0,IF(AND(U156="Ya",V156="Ya",W156="Ya"),1,"")))</x:f>
      </x:c>
      <x:c r="AA156" s="32"/>
      <x:c r="AB156" s="32"/>
      <x:c r="AC156" s="32"/>
      <x:c r="AD156" s="32"/>
      <x:c r="AE156" s="32"/>
      <x:c r="AF156" s="32"/>
      <x:c r="AG156" s="33" t="str">
        <x:f>IF(OR(AE156="",AF156=""),"",IF(AE156="Positif",IF(AF156="Positif","TP","FN"),IF(AF156="Positif","FP","TN")))</x:f>
      </x:c>
    </x:row>
    <x:row r="157">
      <x:c r="A157" s="32"/>
      <x:c r="B157" s="32"/>
      <x:c r="C157" s="32"/>
      <x:c r="D157" s="35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7"/>
      <x:c r="O157" s="32"/>
      <x:c r="P157" s="40"/>
      <x:c r="Q157" s="40"/>
      <x:c r="R157" s="41" t="str">
        <x:f>IF(OR(P157="",Q157=""),"",P157-Q157)</x:f>
      </x:c>
      <x:c r="S157" s="32"/>
      <x:c r="T157" s="32"/>
      <x:c r="U157" s="32"/>
      <x:c r="V157" s="32"/>
      <x:c r="W157" s="32"/>
      <x:c r="X157" s="32"/>
      <x:c r="Y157" s="43" t="str">
        <x:f>IF(OR(X157="",X157="Pending"),"",IF(X157="Rejected",0,IF(AND(U157="Ya",V157="Ya",W157="Ya"),1,"")))</x:f>
      </x:c>
      <x:c r="AA157" s="32"/>
      <x:c r="AB157" s="32"/>
      <x:c r="AC157" s="32"/>
      <x:c r="AD157" s="32"/>
      <x:c r="AE157" s="32"/>
      <x:c r="AF157" s="32"/>
      <x:c r="AG157" s="33" t="str">
        <x:f>IF(OR(AE157="",AF157=""),"",IF(AE157="Positif",IF(AF157="Positif","TP","FN"),IF(AF157="Positif","FP","TN")))</x:f>
      </x:c>
    </x:row>
    <x:row r="158">
      <x:c r="A158" s="32"/>
      <x:c r="B158" s="32"/>
      <x:c r="C158" s="32"/>
      <x:c r="D158" s="35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7"/>
      <x:c r="O158" s="32"/>
      <x:c r="P158" s="40"/>
      <x:c r="Q158" s="40"/>
      <x:c r="R158" s="41" t="str">
        <x:f>IF(OR(P158="",Q158=""),"",P158-Q158)</x:f>
      </x:c>
      <x:c r="S158" s="32"/>
      <x:c r="T158" s="32"/>
      <x:c r="U158" s="32"/>
      <x:c r="V158" s="32"/>
      <x:c r="W158" s="32"/>
      <x:c r="X158" s="32"/>
      <x:c r="Y158" s="43" t="str">
        <x:f>IF(OR(X158="",X158="Pending"),"",IF(X158="Rejected",0,IF(AND(U158="Ya",V158="Ya",W158="Ya"),1,"")))</x:f>
      </x:c>
      <x:c r="AA158" s="32"/>
      <x:c r="AB158" s="32"/>
      <x:c r="AC158" s="32"/>
      <x:c r="AD158" s="32"/>
      <x:c r="AE158" s="32"/>
      <x:c r="AF158" s="32"/>
      <x:c r="AG158" s="33" t="str">
        <x:f>IF(OR(AE158="",AF158=""),"",IF(AE158="Positif",IF(AF158="Positif","TP","FN"),IF(AF158="Positif","FP","TN")))</x:f>
      </x:c>
    </x:row>
    <x:row r="159">
      <x:c r="A159" s="32"/>
      <x:c r="B159" s="32"/>
      <x:c r="C159" s="32"/>
      <x:c r="D159" s="35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7"/>
      <x:c r="O159" s="32"/>
      <x:c r="P159" s="40"/>
      <x:c r="Q159" s="40"/>
      <x:c r="R159" s="41" t="str">
        <x:f>IF(OR(P159="",Q159=""),"",P159-Q159)</x:f>
      </x:c>
      <x:c r="S159" s="32"/>
      <x:c r="T159" s="32"/>
      <x:c r="U159" s="32"/>
      <x:c r="V159" s="32"/>
      <x:c r="W159" s="32"/>
      <x:c r="X159" s="32"/>
      <x:c r="Y159" s="43" t="str">
        <x:f>IF(OR(X159="",X159="Pending"),"",IF(X159="Rejected",0,IF(AND(U159="Ya",V159="Ya",W159="Ya"),1,"")))</x:f>
      </x:c>
      <x:c r="AA159" s="32"/>
      <x:c r="AB159" s="32"/>
      <x:c r="AC159" s="32"/>
      <x:c r="AD159" s="32"/>
      <x:c r="AE159" s="32"/>
      <x:c r="AF159" s="32"/>
      <x:c r="AG159" s="33" t="str">
        <x:f>IF(OR(AE159="",AF159=""),"",IF(AE159="Positif",IF(AF159="Positif","TP","FN"),IF(AF159="Positif","FP","TN")))</x:f>
      </x:c>
    </x:row>
    <x:row r="160">
      <x:c r="A160" s="32"/>
      <x:c r="B160" s="32"/>
      <x:c r="C160" s="32"/>
      <x:c r="D160" s="35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7"/>
      <x:c r="O160" s="32"/>
      <x:c r="P160" s="40"/>
      <x:c r="Q160" s="40"/>
      <x:c r="R160" s="41" t="str">
        <x:f>IF(OR(P160="",Q160=""),"",P160-Q160)</x:f>
      </x:c>
      <x:c r="S160" s="32"/>
      <x:c r="T160" s="32"/>
      <x:c r="U160" s="32"/>
      <x:c r="V160" s="32"/>
      <x:c r="W160" s="32"/>
      <x:c r="X160" s="32"/>
      <x:c r="Y160" s="43" t="str">
        <x:f>IF(OR(X160="",X160="Pending"),"",IF(X160="Rejected",0,IF(AND(U160="Ya",V160="Ya",W160="Ya"),1,"")))</x:f>
      </x:c>
      <x:c r="AA160" s="32"/>
      <x:c r="AB160" s="32"/>
      <x:c r="AC160" s="32"/>
      <x:c r="AD160" s="32"/>
      <x:c r="AE160" s="32"/>
      <x:c r="AF160" s="32"/>
      <x:c r="AG160" s="33" t="str">
        <x:f>IF(OR(AE160="",AF160=""),"",IF(AE160="Positif",IF(AF160="Positif","TP","FN"),IF(AF160="Positif","FP","TN")))</x:f>
      </x:c>
    </x:row>
    <x:row r="161">
      <x:c r="A161" s="32"/>
      <x:c r="B161" s="32"/>
      <x:c r="C161" s="32"/>
      <x:c r="D161" s="35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7"/>
      <x:c r="O161" s="32"/>
      <x:c r="P161" s="40"/>
      <x:c r="Q161" s="40"/>
      <x:c r="R161" s="41" t="str">
        <x:f>IF(OR(P161="",Q161=""),"",P161-Q161)</x:f>
      </x:c>
      <x:c r="S161" s="32"/>
      <x:c r="T161" s="32"/>
      <x:c r="U161" s="32"/>
      <x:c r="V161" s="32"/>
      <x:c r="W161" s="32"/>
      <x:c r="X161" s="32"/>
      <x:c r="Y161" s="43" t="str">
        <x:f>IF(OR(X161="",X161="Pending"),"",IF(X161="Rejected",0,IF(AND(U161="Ya",V161="Ya",W161="Ya"),1,"")))</x:f>
      </x:c>
      <x:c r="AA161" s="32"/>
      <x:c r="AB161" s="32"/>
      <x:c r="AC161" s="32"/>
      <x:c r="AD161" s="32"/>
      <x:c r="AE161" s="32"/>
      <x:c r="AF161" s="32"/>
      <x:c r="AG161" s="33" t="str">
        <x:f>IF(OR(AE161="",AF161=""),"",IF(AE161="Positif",IF(AF161="Positif","TP","FN"),IF(AF161="Positif","FP","TN")))</x:f>
      </x:c>
    </x:row>
    <x:row r="162">
      <x:c r="A162" s="32"/>
      <x:c r="B162" s="32"/>
      <x:c r="C162" s="32"/>
      <x:c r="D162" s="35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7"/>
      <x:c r="O162" s="32"/>
      <x:c r="P162" s="40"/>
      <x:c r="Q162" s="40"/>
      <x:c r="R162" s="41" t="str">
        <x:f>IF(OR(P162="",Q162=""),"",P162-Q162)</x:f>
      </x:c>
      <x:c r="S162" s="32"/>
      <x:c r="T162" s="32"/>
      <x:c r="U162" s="32"/>
      <x:c r="V162" s="32"/>
      <x:c r="W162" s="32"/>
      <x:c r="X162" s="32"/>
      <x:c r="Y162" s="43" t="str">
        <x:f>IF(OR(X162="",X162="Pending"),"",IF(X162="Rejected",0,IF(AND(U162="Ya",V162="Ya",W162="Ya"),1,"")))</x:f>
      </x:c>
      <x:c r="AA162" s="32"/>
      <x:c r="AB162" s="32"/>
      <x:c r="AC162" s="32"/>
      <x:c r="AD162" s="32"/>
      <x:c r="AE162" s="32"/>
      <x:c r="AF162" s="32"/>
      <x:c r="AG162" s="33" t="str">
        <x:f>IF(OR(AE162="",AF162=""),"",IF(AE162="Positif",IF(AF162="Positif","TP","FN"),IF(AF162="Positif","FP","TN")))</x:f>
      </x:c>
    </x:row>
    <x:row r="163">
      <x:c r="A163" s="32"/>
      <x:c r="B163" s="32"/>
      <x:c r="C163" s="32"/>
      <x:c r="D163" s="35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7"/>
      <x:c r="O163" s="32"/>
      <x:c r="P163" s="40"/>
      <x:c r="Q163" s="40"/>
      <x:c r="R163" s="41" t="str">
        <x:f>IF(OR(P163="",Q163=""),"",P163-Q163)</x:f>
      </x:c>
      <x:c r="S163" s="32"/>
      <x:c r="T163" s="32"/>
      <x:c r="U163" s="32"/>
      <x:c r="V163" s="32"/>
      <x:c r="W163" s="32"/>
      <x:c r="X163" s="32"/>
      <x:c r="Y163" s="43" t="str">
        <x:f>IF(OR(X163="",X163="Pending"),"",IF(X163="Rejected",0,IF(AND(U163="Ya",V163="Ya",W163="Ya"),1,"")))</x:f>
      </x:c>
      <x:c r="AA163" s="32"/>
      <x:c r="AB163" s="32"/>
      <x:c r="AC163" s="32"/>
      <x:c r="AD163" s="32"/>
      <x:c r="AE163" s="32"/>
      <x:c r="AF163" s="32"/>
      <x:c r="AG163" s="33" t="str">
        <x:f>IF(OR(AE163="",AF163=""),"",IF(AE163="Positif",IF(AF163="Positif","TP","FN"),IF(AF163="Positif","FP","TN")))</x:f>
      </x:c>
    </x:row>
    <x:row r="164">
      <x:c r="A164" s="32"/>
      <x:c r="B164" s="32"/>
      <x:c r="C164" s="32"/>
      <x:c r="D164" s="35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7"/>
      <x:c r="O164" s="32"/>
      <x:c r="P164" s="40"/>
      <x:c r="Q164" s="40"/>
      <x:c r="R164" s="41" t="str">
        <x:f>IF(OR(P164="",Q164=""),"",P164-Q164)</x:f>
      </x:c>
      <x:c r="S164" s="32"/>
      <x:c r="T164" s="32"/>
      <x:c r="U164" s="32"/>
      <x:c r="V164" s="32"/>
      <x:c r="W164" s="32"/>
      <x:c r="X164" s="32"/>
      <x:c r="Y164" s="43" t="str">
        <x:f>IF(OR(X164="",X164="Pending"),"",IF(X164="Rejected",0,IF(AND(U164="Ya",V164="Ya",W164="Ya"),1,"")))</x:f>
      </x:c>
      <x:c r="AA164" s="32"/>
      <x:c r="AB164" s="32"/>
      <x:c r="AC164" s="32"/>
      <x:c r="AD164" s="32"/>
      <x:c r="AE164" s="32"/>
      <x:c r="AF164" s="32"/>
      <x:c r="AG164" s="33" t="str">
        <x:f>IF(OR(AE164="",AF164=""),"",IF(AE164="Positif",IF(AF164="Positif","TP","FN"),IF(AF164="Positif","FP","TN")))</x:f>
      </x:c>
    </x:row>
    <x:row r="165">
      <x:c r="A165" s="32"/>
      <x:c r="B165" s="32"/>
      <x:c r="C165" s="32"/>
      <x:c r="D165" s="35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7"/>
      <x:c r="O165" s="32"/>
      <x:c r="P165" s="40"/>
      <x:c r="Q165" s="40"/>
      <x:c r="R165" s="41" t="str">
        <x:f>IF(OR(P165="",Q165=""),"",P165-Q165)</x:f>
      </x:c>
      <x:c r="S165" s="32"/>
      <x:c r="T165" s="32"/>
      <x:c r="U165" s="32"/>
      <x:c r="V165" s="32"/>
      <x:c r="W165" s="32"/>
      <x:c r="X165" s="32"/>
      <x:c r="Y165" s="43" t="str">
        <x:f>IF(OR(X165="",X165="Pending"),"",IF(X165="Rejected",0,IF(AND(U165="Ya",V165="Ya",W165="Ya"),1,"")))</x:f>
      </x:c>
      <x:c r="AA165" s="32"/>
      <x:c r="AB165" s="32"/>
      <x:c r="AC165" s="32"/>
      <x:c r="AD165" s="32"/>
      <x:c r="AE165" s="32"/>
      <x:c r="AF165" s="32"/>
      <x:c r="AG165" s="33" t="str">
        <x:f>IF(OR(AE165="",AF165=""),"",IF(AE165="Positif",IF(AF165="Positif","TP","FN"),IF(AF165="Positif","FP","TN")))</x:f>
      </x:c>
    </x:row>
    <x:row r="166">
      <x:c r="A166" s="32"/>
      <x:c r="B166" s="32"/>
      <x:c r="C166" s="32"/>
      <x:c r="D166" s="35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7"/>
      <x:c r="O166" s="32"/>
      <x:c r="P166" s="40"/>
      <x:c r="Q166" s="40"/>
      <x:c r="R166" s="41" t="str">
        <x:f>IF(OR(P166="",Q166=""),"",P166-Q166)</x:f>
      </x:c>
      <x:c r="S166" s="32"/>
      <x:c r="T166" s="32"/>
      <x:c r="U166" s="32"/>
      <x:c r="V166" s="32"/>
      <x:c r="W166" s="32"/>
      <x:c r="X166" s="32"/>
      <x:c r="Y166" s="43" t="str">
        <x:f>IF(OR(X166="",X166="Pending"),"",IF(X166="Rejected",0,IF(AND(U166="Ya",V166="Ya",W166="Ya"),1,"")))</x:f>
      </x:c>
      <x:c r="AA166" s="32"/>
      <x:c r="AB166" s="32"/>
      <x:c r="AC166" s="32"/>
      <x:c r="AD166" s="32"/>
      <x:c r="AE166" s="32"/>
      <x:c r="AF166" s="32"/>
      <x:c r="AG166" s="33" t="str">
        <x:f>IF(OR(AE166="",AF166=""),"",IF(AE166="Positif",IF(AF166="Positif","TP","FN"),IF(AF166="Positif","FP","TN")))</x:f>
      </x:c>
    </x:row>
    <x:row r="167">
      <x:c r="A167" s="32"/>
      <x:c r="B167" s="32"/>
      <x:c r="C167" s="32"/>
      <x:c r="D167" s="35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7"/>
      <x:c r="O167" s="32"/>
      <x:c r="P167" s="40"/>
      <x:c r="Q167" s="40"/>
      <x:c r="R167" s="41" t="str">
        <x:f>IF(OR(P167="",Q167=""),"",P167-Q167)</x:f>
      </x:c>
      <x:c r="S167" s="32"/>
      <x:c r="T167" s="32"/>
      <x:c r="U167" s="32"/>
      <x:c r="V167" s="32"/>
      <x:c r="W167" s="32"/>
      <x:c r="X167" s="32"/>
      <x:c r="Y167" s="43" t="str">
        <x:f>IF(OR(X167="",X167="Pending"),"",IF(X167="Rejected",0,IF(AND(U167="Ya",V167="Ya",W167="Ya"),1,"")))</x:f>
      </x:c>
      <x:c r="AA167" s="32"/>
      <x:c r="AB167" s="32"/>
      <x:c r="AC167" s="32"/>
      <x:c r="AD167" s="32"/>
      <x:c r="AE167" s="32"/>
      <x:c r="AF167" s="32"/>
      <x:c r="AG167" s="33" t="str">
        <x:f>IF(OR(AE167="",AF167=""),"",IF(AE167="Positif",IF(AF167="Positif","TP","FN"),IF(AF167="Positif","FP","TN")))</x:f>
      </x:c>
    </x:row>
    <x:row r="168">
      <x:c r="A168" s="32"/>
      <x:c r="B168" s="32"/>
      <x:c r="C168" s="32"/>
      <x:c r="D168" s="35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7"/>
      <x:c r="O168" s="32"/>
      <x:c r="P168" s="40"/>
      <x:c r="Q168" s="40"/>
      <x:c r="R168" s="41" t="str">
        <x:f>IF(OR(P168="",Q168=""),"",P168-Q168)</x:f>
      </x:c>
      <x:c r="S168" s="32"/>
      <x:c r="T168" s="32"/>
      <x:c r="U168" s="32"/>
      <x:c r="V168" s="32"/>
      <x:c r="W168" s="32"/>
      <x:c r="X168" s="32"/>
      <x:c r="Y168" s="43" t="str">
        <x:f>IF(OR(X168="",X168="Pending"),"",IF(X168="Rejected",0,IF(AND(U168="Ya",V168="Ya",W168="Ya"),1,"")))</x:f>
      </x:c>
      <x:c r="AA168" s="32"/>
      <x:c r="AB168" s="32"/>
      <x:c r="AC168" s="32"/>
      <x:c r="AD168" s="32"/>
      <x:c r="AE168" s="32"/>
      <x:c r="AF168" s="32"/>
      <x:c r="AG168" s="33" t="str">
        <x:f>IF(OR(AE168="",AF168=""),"",IF(AE168="Positif",IF(AF168="Positif","TP","FN"),IF(AF168="Positif","FP","TN")))</x:f>
      </x:c>
    </x:row>
    <x:row r="169">
      <x:c r="A169" s="32"/>
      <x:c r="B169" s="32"/>
      <x:c r="C169" s="32"/>
      <x:c r="D169" s="35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7"/>
      <x:c r="O169" s="32"/>
      <x:c r="P169" s="40"/>
      <x:c r="Q169" s="40"/>
      <x:c r="R169" s="41" t="str">
        <x:f>IF(OR(P169="",Q169=""),"",P169-Q169)</x:f>
      </x:c>
      <x:c r="S169" s="32"/>
      <x:c r="T169" s="32"/>
      <x:c r="U169" s="32"/>
      <x:c r="V169" s="32"/>
      <x:c r="W169" s="32"/>
      <x:c r="X169" s="32"/>
      <x:c r="Y169" s="43" t="str">
        <x:f>IF(OR(X169="",X169="Pending"),"",IF(X169="Rejected",0,IF(AND(U169="Ya",V169="Ya",W169="Ya"),1,"")))</x:f>
      </x:c>
      <x:c r="AA169" s="32"/>
      <x:c r="AB169" s="32"/>
      <x:c r="AC169" s="32"/>
      <x:c r="AD169" s="32"/>
      <x:c r="AE169" s="32"/>
      <x:c r="AF169" s="32"/>
      <x:c r="AG169" s="33" t="str">
        <x:f>IF(OR(AE169="",AF169=""),"",IF(AE169="Positif",IF(AF169="Positif","TP","FN"),IF(AF169="Positif","FP","TN")))</x:f>
      </x:c>
    </x:row>
    <x:row r="170">
      <x:c r="A170" s="32"/>
      <x:c r="B170" s="32"/>
      <x:c r="C170" s="32"/>
      <x:c r="D170" s="35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7"/>
      <x:c r="O170" s="32"/>
      <x:c r="P170" s="40"/>
      <x:c r="Q170" s="40"/>
      <x:c r="R170" s="41" t="str">
        <x:f>IF(OR(P170="",Q170=""),"",P170-Q170)</x:f>
      </x:c>
      <x:c r="S170" s="32"/>
      <x:c r="T170" s="32"/>
      <x:c r="U170" s="32"/>
      <x:c r="V170" s="32"/>
      <x:c r="W170" s="32"/>
      <x:c r="X170" s="32"/>
      <x:c r="Y170" s="43" t="str">
        <x:f>IF(OR(X170="",X170="Pending"),"",IF(X170="Rejected",0,IF(AND(U170="Ya",V170="Ya",W170="Ya"),1,"")))</x:f>
      </x:c>
      <x:c r="AA170" s="32"/>
      <x:c r="AB170" s="32"/>
      <x:c r="AC170" s="32"/>
      <x:c r="AD170" s="32"/>
      <x:c r="AE170" s="32"/>
      <x:c r="AF170" s="32"/>
      <x:c r="AG170" s="33" t="str">
        <x:f>IF(OR(AE170="",AF170=""),"",IF(AE170="Positif",IF(AF170="Positif","TP","FN"),IF(AF170="Positif","FP","TN")))</x:f>
      </x:c>
    </x:row>
    <x:row r="171">
      <x:c r="A171" s="32"/>
      <x:c r="B171" s="32"/>
      <x:c r="C171" s="32"/>
      <x:c r="D171" s="35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7"/>
      <x:c r="O171" s="32"/>
      <x:c r="P171" s="40"/>
      <x:c r="Q171" s="40"/>
      <x:c r="R171" s="41" t="str">
        <x:f>IF(OR(P171="",Q171=""),"",P171-Q171)</x:f>
      </x:c>
      <x:c r="S171" s="32"/>
      <x:c r="T171" s="32"/>
      <x:c r="U171" s="32"/>
      <x:c r="V171" s="32"/>
      <x:c r="W171" s="32"/>
      <x:c r="X171" s="32"/>
      <x:c r="Y171" s="43" t="str">
        <x:f>IF(OR(X171="",X171="Pending"),"",IF(X171="Rejected",0,IF(AND(U171="Ya",V171="Ya",W171="Ya"),1,"")))</x:f>
      </x:c>
      <x:c r="AA171" s="32"/>
      <x:c r="AB171" s="32"/>
      <x:c r="AC171" s="32"/>
      <x:c r="AD171" s="32"/>
      <x:c r="AE171" s="32"/>
      <x:c r="AF171" s="32"/>
      <x:c r="AG171" s="33" t="str">
        <x:f>IF(OR(AE171="",AF171=""),"",IF(AE171="Positif",IF(AF171="Positif","TP","FN"),IF(AF171="Positif","FP","TN")))</x:f>
      </x:c>
    </x:row>
    <x:row r="172">
      <x:c r="A172" s="32"/>
      <x:c r="B172" s="32"/>
      <x:c r="C172" s="32"/>
      <x:c r="D172" s="35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7"/>
      <x:c r="O172" s="32"/>
      <x:c r="P172" s="40"/>
      <x:c r="Q172" s="40"/>
      <x:c r="R172" s="41" t="str">
        <x:f>IF(OR(P172="",Q172=""),"",P172-Q172)</x:f>
      </x:c>
      <x:c r="S172" s="32"/>
      <x:c r="T172" s="32"/>
      <x:c r="U172" s="32"/>
      <x:c r="V172" s="32"/>
      <x:c r="W172" s="32"/>
      <x:c r="X172" s="32"/>
      <x:c r="Y172" s="43" t="str">
        <x:f>IF(OR(X172="",X172="Pending"),"",IF(X172="Rejected",0,IF(AND(U172="Ya",V172="Ya",W172="Ya"),1,"")))</x:f>
      </x:c>
      <x:c r="AA172" s="32"/>
      <x:c r="AB172" s="32"/>
      <x:c r="AC172" s="32"/>
      <x:c r="AD172" s="32"/>
      <x:c r="AE172" s="32"/>
      <x:c r="AF172" s="32"/>
      <x:c r="AG172" s="33" t="str">
        <x:f>IF(OR(AE172="",AF172=""),"",IF(AE172="Positif",IF(AF172="Positif","TP","FN"),IF(AF172="Positif","FP","TN")))</x:f>
      </x:c>
    </x:row>
    <x:row r="173">
      <x:c r="A173" s="32"/>
      <x:c r="B173" s="32"/>
      <x:c r="C173" s="32"/>
      <x:c r="D173" s="35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7"/>
      <x:c r="O173" s="32"/>
      <x:c r="P173" s="40"/>
      <x:c r="Q173" s="40"/>
      <x:c r="R173" s="41" t="str">
        <x:f>IF(OR(P173="",Q173=""),"",P173-Q173)</x:f>
      </x:c>
      <x:c r="S173" s="32"/>
      <x:c r="T173" s="32"/>
      <x:c r="U173" s="32"/>
      <x:c r="V173" s="32"/>
      <x:c r="W173" s="32"/>
      <x:c r="X173" s="32"/>
      <x:c r="Y173" s="43" t="str">
        <x:f>IF(OR(X173="",X173="Pending"),"",IF(X173="Rejected",0,IF(AND(U173="Ya",V173="Ya",W173="Ya"),1,"")))</x:f>
      </x:c>
      <x:c r="AA173" s="32"/>
      <x:c r="AB173" s="32"/>
      <x:c r="AC173" s="32"/>
      <x:c r="AD173" s="32"/>
      <x:c r="AE173" s="32"/>
      <x:c r="AF173" s="32"/>
      <x:c r="AG173" s="33" t="str">
        <x:f>IF(OR(AE173="",AF173=""),"",IF(AE173="Positif",IF(AF173="Positif","TP","FN"),IF(AF173="Positif","FP","TN")))</x:f>
      </x:c>
    </x:row>
    <x:row r="174">
      <x:c r="A174" s="32"/>
      <x:c r="B174" s="32"/>
      <x:c r="C174" s="32"/>
      <x:c r="D174" s="35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7"/>
      <x:c r="O174" s="32"/>
      <x:c r="P174" s="40"/>
      <x:c r="Q174" s="40"/>
      <x:c r="R174" s="41" t="str">
        <x:f>IF(OR(P174="",Q174=""),"",P174-Q174)</x:f>
      </x:c>
      <x:c r="S174" s="32"/>
      <x:c r="T174" s="32"/>
      <x:c r="U174" s="32"/>
      <x:c r="V174" s="32"/>
      <x:c r="W174" s="32"/>
      <x:c r="X174" s="32"/>
      <x:c r="Y174" s="43" t="str">
        <x:f>IF(OR(X174="",X174="Pending"),"",IF(X174="Rejected",0,IF(AND(U174="Ya",V174="Ya",W174="Ya"),1,"")))</x:f>
      </x:c>
      <x:c r="AA174" s="32"/>
      <x:c r="AB174" s="32"/>
      <x:c r="AC174" s="32"/>
      <x:c r="AD174" s="32"/>
      <x:c r="AE174" s="32"/>
      <x:c r="AF174" s="32"/>
      <x:c r="AG174" s="33" t="str">
        <x:f>IF(OR(AE174="",AF174=""),"",IF(AE174="Positif",IF(AF174="Positif","TP","FN"),IF(AF174="Positif","FP","TN")))</x:f>
      </x:c>
    </x:row>
    <x:row r="175">
      <x:c r="A175" s="32"/>
      <x:c r="B175" s="32"/>
      <x:c r="C175" s="32"/>
      <x:c r="D175" s="35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7"/>
      <x:c r="O175" s="32"/>
      <x:c r="P175" s="40"/>
      <x:c r="Q175" s="40"/>
      <x:c r="R175" s="41" t="str">
        <x:f>IF(OR(P175="",Q175=""),"",P175-Q175)</x:f>
      </x:c>
      <x:c r="S175" s="32"/>
      <x:c r="T175" s="32"/>
      <x:c r="U175" s="32"/>
      <x:c r="V175" s="32"/>
      <x:c r="W175" s="32"/>
      <x:c r="X175" s="32"/>
      <x:c r="Y175" s="43" t="str">
        <x:f>IF(OR(X175="",X175="Pending"),"",IF(X175="Rejected",0,IF(AND(U175="Ya",V175="Ya",W175="Ya"),1,"")))</x:f>
      </x:c>
      <x:c r="AA175" s="32"/>
      <x:c r="AB175" s="32"/>
      <x:c r="AC175" s="32"/>
      <x:c r="AD175" s="32"/>
      <x:c r="AE175" s="32"/>
      <x:c r="AF175" s="32"/>
      <x:c r="AG175" s="33" t="str">
        <x:f>IF(OR(AE175="",AF175=""),"",IF(AE175="Positif",IF(AF175="Positif","TP","FN"),IF(AF175="Positif","FP","TN")))</x:f>
      </x:c>
    </x:row>
    <x:row r="176">
      <x:c r="A176" s="32"/>
      <x:c r="B176" s="32"/>
      <x:c r="C176" s="32"/>
      <x:c r="D176" s="35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7"/>
      <x:c r="O176" s="32"/>
      <x:c r="P176" s="40"/>
      <x:c r="Q176" s="40"/>
      <x:c r="R176" s="41" t="str">
        <x:f>IF(OR(P176="",Q176=""),"",P176-Q176)</x:f>
      </x:c>
      <x:c r="S176" s="32"/>
      <x:c r="T176" s="32"/>
      <x:c r="U176" s="32"/>
      <x:c r="V176" s="32"/>
      <x:c r="W176" s="32"/>
      <x:c r="X176" s="32"/>
      <x:c r="Y176" s="43" t="str">
        <x:f>IF(OR(X176="",X176="Pending"),"",IF(X176="Rejected",0,IF(AND(U176="Ya",V176="Ya",W176="Ya"),1,"")))</x:f>
      </x:c>
      <x:c r="AA176" s="32"/>
      <x:c r="AB176" s="32"/>
      <x:c r="AC176" s="32"/>
      <x:c r="AD176" s="32"/>
      <x:c r="AE176" s="32"/>
      <x:c r="AF176" s="32"/>
      <x:c r="AG176" s="33" t="str">
        <x:f>IF(OR(AE176="",AF176=""),"",IF(AE176="Positif",IF(AF176="Positif","TP","FN"),IF(AF176="Positif","FP","TN")))</x:f>
      </x:c>
    </x:row>
    <x:row r="177">
      <x:c r="A177" s="32"/>
      <x:c r="B177" s="32"/>
      <x:c r="C177" s="32"/>
      <x:c r="D177" s="35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7"/>
      <x:c r="O177" s="32"/>
      <x:c r="P177" s="40"/>
      <x:c r="Q177" s="40"/>
      <x:c r="R177" s="41" t="str">
        <x:f>IF(OR(P177="",Q177=""),"",P177-Q177)</x:f>
      </x:c>
      <x:c r="S177" s="32"/>
      <x:c r="T177" s="32"/>
      <x:c r="U177" s="32"/>
      <x:c r="V177" s="32"/>
      <x:c r="W177" s="32"/>
      <x:c r="X177" s="32"/>
      <x:c r="Y177" s="43" t="str">
        <x:f>IF(OR(X177="",X177="Pending"),"",IF(X177="Rejected",0,IF(AND(U177="Ya",V177="Ya",W177="Ya"),1,"")))</x:f>
      </x:c>
      <x:c r="AA177" s="32"/>
      <x:c r="AB177" s="32"/>
      <x:c r="AC177" s="32"/>
      <x:c r="AD177" s="32"/>
      <x:c r="AE177" s="32"/>
      <x:c r="AF177" s="32"/>
      <x:c r="AG177" s="33" t="str">
        <x:f>IF(OR(AE177="",AF177=""),"",IF(AE177="Positif",IF(AF177="Positif","TP","FN"),IF(AF177="Positif","FP","TN")))</x:f>
      </x:c>
    </x:row>
    <x:row r="178">
      <x:c r="A178" s="32"/>
      <x:c r="B178" s="32"/>
      <x:c r="C178" s="32"/>
      <x:c r="D178" s="35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7"/>
      <x:c r="O178" s="32"/>
      <x:c r="P178" s="40"/>
      <x:c r="Q178" s="40"/>
      <x:c r="R178" s="41" t="str">
        <x:f>IF(OR(P178="",Q178=""),"",P178-Q178)</x:f>
      </x:c>
      <x:c r="S178" s="32"/>
      <x:c r="T178" s="32"/>
      <x:c r="U178" s="32"/>
      <x:c r="V178" s="32"/>
      <x:c r="W178" s="32"/>
      <x:c r="X178" s="32"/>
      <x:c r="Y178" s="43" t="str">
        <x:f>IF(OR(X178="",X178="Pending"),"",IF(X178="Rejected",0,IF(AND(U178="Ya",V178="Ya",W178="Ya"),1,"")))</x:f>
      </x:c>
      <x:c r="AA178" s="32"/>
      <x:c r="AB178" s="32"/>
      <x:c r="AC178" s="32"/>
      <x:c r="AD178" s="32"/>
      <x:c r="AE178" s="32"/>
      <x:c r="AF178" s="32"/>
      <x:c r="AG178" s="33" t="str">
        <x:f>IF(OR(AE178="",AF178=""),"",IF(AE178="Positif",IF(AF178="Positif","TP","FN"),IF(AF178="Positif","FP","TN")))</x:f>
      </x:c>
    </x:row>
    <x:row r="179">
      <x:c r="A179" s="32"/>
      <x:c r="B179" s="32"/>
      <x:c r="C179" s="32"/>
      <x:c r="D179" s="35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7"/>
      <x:c r="O179" s="32"/>
      <x:c r="P179" s="40"/>
      <x:c r="Q179" s="40"/>
      <x:c r="R179" s="41" t="str">
        <x:f>IF(OR(P179="",Q179=""),"",P179-Q179)</x:f>
      </x:c>
      <x:c r="S179" s="32"/>
      <x:c r="T179" s="32"/>
      <x:c r="U179" s="32"/>
      <x:c r="V179" s="32"/>
      <x:c r="W179" s="32"/>
      <x:c r="X179" s="32"/>
      <x:c r="Y179" s="43" t="str">
        <x:f>IF(OR(X179="",X179="Pending"),"",IF(X179="Rejected",0,IF(AND(U179="Ya",V179="Ya",W179="Ya"),1,"")))</x:f>
      </x:c>
      <x:c r="AA179" s="32"/>
      <x:c r="AB179" s="32"/>
      <x:c r="AC179" s="32"/>
      <x:c r="AD179" s="32"/>
      <x:c r="AE179" s="32"/>
      <x:c r="AF179" s="32"/>
      <x:c r="AG179" s="33" t="str">
        <x:f>IF(OR(AE179="",AF179=""),"",IF(AE179="Positif",IF(AF179="Positif","TP","FN"),IF(AF179="Positif","FP","TN")))</x:f>
      </x:c>
    </x:row>
    <x:row r="180">
      <x:c r="A180" s="32"/>
      <x:c r="B180" s="32"/>
      <x:c r="C180" s="32"/>
      <x:c r="D180" s="35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7"/>
      <x:c r="O180" s="32"/>
      <x:c r="P180" s="40"/>
      <x:c r="Q180" s="40"/>
      <x:c r="R180" s="41" t="str">
        <x:f>IF(OR(P180="",Q180=""),"",P180-Q180)</x:f>
      </x:c>
      <x:c r="S180" s="32"/>
      <x:c r="T180" s="32"/>
      <x:c r="U180" s="32"/>
      <x:c r="V180" s="32"/>
      <x:c r="W180" s="32"/>
      <x:c r="X180" s="32"/>
      <x:c r="Y180" s="43" t="str">
        <x:f>IF(OR(X180="",X180="Pending"),"",IF(X180="Rejected",0,IF(AND(U180="Ya",V180="Ya",W180="Ya"),1,"")))</x:f>
      </x:c>
      <x:c r="AA180" s="32"/>
      <x:c r="AB180" s="32"/>
      <x:c r="AC180" s="32"/>
      <x:c r="AD180" s="32"/>
      <x:c r="AE180" s="32"/>
      <x:c r="AF180" s="32"/>
      <x:c r="AG180" s="33" t="str">
        <x:f>IF(OR(AE180="",AF180=""),"",IF(AE180="Positif",IF(AF180="Positif","TP","FN"),IF(AF180="Positif","FP","TN")))</x:f>
      </x:c>
    </x:row>
    <x:row r="181">
      <x:c r="A181" s="32"/>
      <x:c r="B181" s="32"/>
      <x:c r="C181" s="32"/>
      <x:c r="D181" s="35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7"/>
      <x:c r="O181" s="32"/>
      <x:c r="P181" s="40"/>
      <x:c r="Q181" s="40"/>
      <x:c r="R181" s="41" t="str">
        <x:f>IF(OR(P181="",Q181=""),"",P181-Q181)</x:f>
      </x:c>
      <x:c r="S181" s="32"/>
      <x:c r="T181" s="32"/>
      <x:c r="U181" s="32"/>
      <x:c r="V181" s="32"/>
      <x:c r="W181" s="32"/>
      <x:c r="X181" s="32"/>
      <x:c r="Y181" s="43" t="str">
        <x:f>IF(OR(X181="",X181="Pending"),"",IF(X181="Rejected",0,IF(AND(U181="Ya",V181="Ya",W181="Ya"),1,"")))</x:f>
      </x:c>
      <x:c r="AA181" s="32"/>
      <x:c r="AB181" s="32"/>
      <x:c r="AC181" s="32"/>
      <x:c r="AD181" s="32"/>
      <x:c r="AE181" s="32"/>
      <x:c r="AF181" s="32"/>
      <x:c r="AG181" s="33" t="str">
        <x:f>IF(OR(AE181="",AF181=""),"",IF(AE181="Positif",IF(AF181="Positif","TP","FN"),IF(AF181="Positif","FP","TN")))</x:f>
      </x:c>
    </x:row>
    <x:row r="182">
      <x:c r="A182" s="32"/>
      <x:c r="B182" s="32"/>
      <x:c r="C182" s="32"/>
      <x:c r="D182" s="35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7"/>
      <x:c r="O182" s="32"/>
      <x:c r="P182" s="40"/>
      <x:c r="Q182" s="40"/>
      <x:c r="R182" s="41" t="str">
        <x:f>IF(OR(P182="",Q182=""),"",P182-Q182)</x:f>
      </x:c>
      <x:c r="S182" s="32"/>
      <x:c r="T182" s="32"/>
      <x:c r="U182" s="32"/>
      <x:c r="V182" s="32"/>
      <x:c r="W182" s="32"/>
      <x:c r="X182" s="32"/>
      <x:c r="Y182" s="43" t="str">
        <x:f>IF(OR(X182="",X182="Pending"),"",IF(X182="Rejected",0,IF(AND(U182="Ya",V182="Ya",W182="Ya"),1,"")))</x:f>
      </x:c>
      <x:c r="AA182" s="32"/>
      <x:c r="AB182" s="32"/>
      <x:c r="AC182" s="32"/>
      <x:c r="AD182" s="32"/>
      <x:c r="AE182" s="32"/>
      <x:c r="AF182" s="32"/>
      <x:c r="AG182" s="33" t="str">
        <x:f>IF(OR(AE182="",AF182=""),"",IF(AE182="Positif",IF(AF182="Positif","TP","FN"),IF(AF182="Positif","FP","TN")))</x:f>
      </x:c>
    </x:row>
    <x:row r="183">
      <x:c r="A183" s="32"/>
      <x:c r="B183" s="32"/>
      <x:c r="C183" s="32"/>
      <x:c r="D183" s="35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7"/>
      <x:c r="O183" s="32"/>
      <x:c r="P183" s="40"/>
      <x:c r="Q183" s="40"/>
      <x:c r="R183" s="41" t="str">
        <x:f>IF(OR(P183="",Q183=""),"",P183-Q183)</x:f>
      </x:c>
      <x:c r="S183" s="32"/>
      <x:c r="T183" s="32"/>
      <x:c r="U183" s="32"/>
      <x:c r="V183" s="32"/>
      <x:c r="W183" s="32"/>
      <x:c r="X183" s="32"/>
      <x:c r="Y183" s="43" t="str">
        <x:f>IF(OR(X183="",X183="Pending"),"",IF(X183="Rejected",0,IF(AND(U183="Ya",V183="Ya",W183="Ya"),1,"")))</x:f>
      </x:c>
      <x:c r="AA183" s="32"/>
      <x:c r="AB183" s="32"/>
      <x:c r="AC183" s="32"/>
      <x:c r="AD183" s="32"/>
      <x:c r="AE183" s="32"/>
      <x:c r="AF183" s="32"/>
      <x:c r="AG183" s="33" t="str">
        <x:f>IF(OR(AE183="",AF183=""),"",IF(AE183="Positif",IF(AF183="Positif","TP","FN"),IF(AF183="Positif","FP","TN")))</x:f>
      </x:c>
    </x:row>
    <x:row r="184">
      <x:c r="A184" s="32"/>
      <x:c r="B184" s="32"/>
      <x:c r="C184" s="32"/>
      <x:c r="D184" s="35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7"/>
      <x:c r="O184" s="32"/>
      <x:c r="P184" s="40"/>
      <x:c r="Q184" s="40"/>
      <x:c r="R184" s="41" t="str">
        <x:f>IF(OR(P184="",Q184=""),"",P184-Q184)</x:f>
      </x:c>
      <x:c r="S184" s="32"/>
      <x:c r="T184" s="32"/>
      <x:c r="U184" s="32"/>
      <x:c r="V184" s="32"/>
      <x:c r="W184" s="32"/>
      <x:c r="X184" s="32"/>
      <x:c r="Y184" s="43" t="str">
        <x:f>IF(OR(X184="",X184="Pending"),"",IF(X184="Rejected",0,IF(AND(U184="Ya",V184="Ya",W184="Ya"),1,"")))</x:f>
      </x:c>
      <x:c r="AA184" s="32"/>
      <x:c r="AB184" s="32"/>
      <x:c r="AC184" s="32"/>
      <x:c r="AD184" s="32"/>
      <x:c r="AE184" s="32"/>
      <x:c r="AF184" s="32"/>
      <x:c r="AG184" s="33" t="str">
        <x:f>IF(OR(AE184="",AF184=""),"",IF(AE184="Positif",IF(AF184="Positif","TP","FN"),IF(AF184="Positif","FP","TN")))</x:f>
      </x:c>
    </x:row>
    <x:row r="185">
      <x:c r="A185" s="32"/>
      <x:c r="B185" s="32"/>
      <x:c r="C185" s="32"/>
      <x:c r="D185" s="35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7"/>
      <x:c r="O185" s="32"/>
      <x:c r="P185" s="40"/>
      <x:c r="Q185" s="40"/>
      <x:c r="R185" s="41" t="str">
        <x:f>IF(OR(P185="",Q185=""),"",P185-Q185)</x:f>
      </x:c>
      <x:c r="S185" s="32"/>
      <x:c r="T185" s="32"/>
      <x:c r="U185" s="32"/>
      <x:c r="V185" s="32"/>
      <x:c r="W185" s="32"/>
      <x:c r="X185" s="32"/>
      <x:c r="Y185" s="43" t="str">
        <x:f>IF(OR(X185="",X185="Pending"),"",IF(X185="Rejected",0,IF(AND(U185="Ya",V185="Ya",W185="Ya"),1,"")))</x:f>
      </x:c>
      <x:c r="AA185" s="32"/>
      <x:c r="AB185" s="32"/>
      <x:c r="AC185" s="32"/>
      <x:c r="AD185" s="32"/>
      <x:c r="AE185" s="32"/>
      <x:c r="AF185" s="32"/>
      <x:c r="AG185" s="33" t="str">
        <x:f>IF(OR(AE185="",AF185=""),"",IF(AE185="Positif",IF(AF185="Positif","TP","FN"),IF(AF185="Positif","FP","TN")))</x:f>
      </x:c>
    </x:row>
    <x:row r="186">
      <x:c r="A186" s="32"/>
      <x:c r="B186" s="32"/>
      <x:c r="C186" s="32"/>
      <x:c r="D186" s="35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7"/>
      <x:c r="O186" s="32"/>
      <x:c r="P186" s="40"/>
      <x:c r="Q186" s="40"/>
      <x:c r="R186" s="41" t="str">
        <x:f>IF(OR(P186="",Q186=""),"",P186-Q186)</x:f>
      </x:c>
      <x:c r="S186" s="32"/>
      <x:c r="T186" s="32"/>
      <x:c r="U186" s="32"/>
      <x:c r="V186" s="32"/>
      <x:c r="W186" s="32"/>
      <x:c r="X186" s="32"/>
      <x:c r="Y186" s="43" t="str">
        <x:f>IF(OR(X186="",X186="Pending"),"",IF(X186="Rejected",0,IF(AND(U186="Ya",V186="Ya",W186="Ya"),1,"")))</x:f>
      </x:c>
      <x:c r="AA186" s="32"/>
      <x:c r="AB186" s="32"/>
      <x:c r="AC186" s="32"/>
      <x:c r="AD186" s="32"/>
      <x:c r="AE186" s="32"/>
      <x:c r="AF186" s="32"/>
      <x:c r="AG186" s="33" t="str">
        <x:f>IF(OR(AE186="",AF186=""),"",IF(AE186="Positif",IF(AF186="Positif","TP","FN"),IF(AF186="Positif","FP","TN")))</x:f>
      </x:c>
    </x:row>
    <x:row r="187">
      <x:c r="A187" s="32"/>
      <x:c r="B187" s="32"/>
      <x:c r="C187" s="32"/>
      <x:c r="D187" s="35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7"/>
      <x:c r="O187" s="32"/>
      <x:c r="P187" s="40"/>
      <x:c r="Q187" s="40"/>
      <x:c r="R187" s="41" t="str">
        <x:f>IF(OR(P187="",Q187=""),"",P187-Q187)</x:f>
      </x:c>
      <x:c r="S187" s="32"/>
      <x:c r="T187" s="32"/>
      <x:c r="U187" s="32"/>
      <x:c r="V187" s="32"/>
      <x:c r="W187" s="32"/>
      <x:c r="X187" s="32"/>
      <x:c r="Y187" s="43" t="str">
        <x:f>IF(OR(X187="",X187="Pending"),"",IF(X187="Rejected",0,IF(AND(U187="Ya",V187="Ya",W187="Ya"),1,"")))</x:f>
      </x:c>
      <x:c r="AA187" s="32"/>
      <x:c r="AB187" s="32"/>
      <x:c r="AC187" s="32"/>
      <x:c r="AD187" s="32"/>
      <x:c r="AE187" s="32"/>
      <x:c r="AF187" s="32"/>
      <x:c r="AG187" s="33" t="str">
        <x:f>IF(OR(AE187="",AF187=""),"",IF(AE187="Positif",IF(AF187="Positif","TP","FN"),IF(AF187="Positif","FP","TN")))</x:f>
      </x:c>
    </x:row>
    <x:row r="188">
      <x:c r="A188" s="32"/>
      <x:c r="B188" s="32"/>
      <x:c r="C188" s="32"/>
      <x:c r="D188" s="35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7"/>
      <x:c r="O188" s="32"/>
      <x:c r="P188" s="40"/>
      <x:c r="Q188" s="40"/>
      <x:c r="R188" s="41" t="str">
        <x:f>IF(OR(P188="",Q188=""),"",P188-Q188)</x:f>
      </x:c>
      <x:c r="S188" s="32"/>
      <x:c r="T188" s="32"/>
      <x:c r="U188" s="32"/>
      <x:c r="V188" s="32"/>
      <x:c r="W188" s="32"/>
      <x:c r="X188" s="32"/>
      <x:c r="Y188" s="43" t="str">
        <x:f>IF(OR(X188="",X188="Pending"),"",IF(X188="Rejected",0,IF(AND(U188="Ya",V188="Ya",W188="Ya"),1,"")))</x:f>
      </x:c>
      <x:c r="AA188" s="32"/>
      <x:c r="AB188" s="32"/>
      <x:c r="AC188" s="32"/>
      <x:c r="AD188" s="32"/>
      <x:c r="AE188" s="32"/>
      <x:c r="AF188" s="32"/>
      <x:c r="AG188" s="33" t="str">
        <x:f>IF(OR(AE188="",AF188=""),"",IF(AE188="Positif",IF(AF188="Positif","TP","FN"),IF(AF188="Positif","FP","TN")))</x:f>
      </x:c>
    </x:row>
    <x:row r="189">
      <x:c r="A189" s="32"/>
      <x:c r="B189" s="32"/>
      <x:c r="C189" s="32"/>
      <x:c r="D189" s="35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7"/>
      <x:c r="O189" s="32"/>
      <x:c r="P189" s="40"/>
      <x:c r="Q189" s="40"/>
      <x:c r="R189" s="41" t="str">
        <x:f>IF(OR(P189="",Q189=""),"",P189-Q189)</x:f>
      </x:c>
      <x:c r="S189" s="32"/>
      <x:c r="T189" s="32"/>
      <x:c r="U189" s="32"/>
      <x:c r="V189" s="32"/>
      <x:c r="W189" s="32"/>
      <x:c r="X189" s="32"/>
      <x:c r="Y189" s="43" t="str">
        <x:f>IF(OR(X189="",X189="Pending"),"",IF(X189="Rejected",0,IF(AND(U189="Ya",V189="Ya",W189="Ya"),1,"")))</x:f>
      </x:c>
      <x:c r="AA189" s="32"/>
      <x:c r="AB189" s="32"/>
      <x:c r="AC189" s="32"/>
      <x:c r="AD189" s="32"/>
      <x:c r="AE189" s="32"/>
      <x:c r="AF189" s="32"/>
      <x:c r="AG189" s="33" t="str">
        <x:f>IF(OR(AE189="",AF189=""),"",IF(AE189="Positif",IF(AF189="Positif","TP","FN"),IF(AF189="Positif","FP","TN")))</x:f>
      </x:c>
    </x:row>
    <x:row r="190">
      <x:c r="A190" s="32"/>
      <x:c r="B190" s="32"/>
      <x:c r="C190" s="32"/>
      <x:c r="D190" s="35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7"/>
      <x:c r="O190" s="32"/>
      <x:c r="P190" s="40"/>
      <x:c r="Q190" s="40"/>
      <x:c r="R190" s="41" t="str">
        <x:f>IF(OR(P190="",Q190=""),"",P190-Q190)</x:f>
      </x:c>
      <x:c r="S190" s="32"/>
      <x:c r="T190" s="32"/>
      <x:c r="U190" s="32"/>
      <x:c r="V190" s="32"/>
      <x:c r="W190" s="32"/>
      <x:c r="X190" s="32"/>
      <x:c r="Y190" s="43" t="str">
        <x:f>IF(OR(X190="",X190="Pending"),"",IF(X190="Rejected",0,IF(AND(U190="Ya",V190="Ya",W190="Ya"),1,"")))</x:f>
      </x:c>
      <x:c r="AA190" s="32"/>
      <x:c r="AB190" s="32"/>
      <x:c r="AC190" s="32"/>
      <x:c r="AD190" s="32"/>
      <x:c r="AE190" s="32"/>
      <x:c r="AF190" s="32"/>
      <x:c r="AG190" s="33" t="str">
        <x:f>IF(OR(AE190="",AF190=""),"",IF(AE190="Positif",IF(AF190="Positif","TP","FN"),IF(AF190="Positif","FP","TN")))</x:f>
      </x:c>
    </x:row>
    <x:row r="191">
      <x:c r="A191" s="32"/>
      <x:c r="B191" s="32"/>
      <x:c r="C191" s="32"/>
      <x:c r="D191" s="35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7"/>
      <x:c r="O191" s="32"/>
      <x:c r="P191" s="40"/>
      <x:c r="Q191" s="40"/>
      <x:c r="R191" s="41" t="str">
        <x:f>IF(OR(P191="",Q191=""),"",P191-Q191)</x:f>
      </x:c>
      <x:c r="S191" s="32"/>
      <x:c r="T191" s="32"/>
      <x:c r="U191" s="32"/>
      <x:c r="V191" s="32"/>
      <x:c r="W191" s="32"/>
      <x:c r="X191" s="32"/>
      <x:c r="Y191" s="43" t="str">
        <x:f>IF(OR(X191="",X191="Pending"),"",IF(X191="Rejected",0,IF(AND(U191="Ya",V191="Ya",W191="Ya"),1,"")))</x:f>
      </x:c>
      <x:c r="AA191" s="32"/>
      <x:c r="AB191" s="32"/>
      <x:c r="AC191" s="32"/>
      <x:c r="AD191" s="32"/>
      <x:c r="AE191" s="32"/>
      <x:c r="AF191" s="32"/>
      <x:c r="AG191" s="33" t="str">
        <x:f>IF(OR(AE191="",AF191=""),"",IF(AE191="Positif",IF(AF191="Positif","TP","FN"),IF(AF191="Positif","FP","TN")))</x:f>
      </x:c>
    </x:row>
    <x:row r="192">
      <x:c r="A192" s="32"/>
      <x:c r="B192" s="32"/>
      <x:c r="C192" s="32"/>
      <x:c r="D192" s="35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7"/>
      <x:c r="O192" s="32"/>
      <x:c r="P192" s="40"/>
      <x:c r="Q192" s="40"/>
      <x:c r="R192" s="41" t="str">
        <x:f>IF(OR(P192="",Q192=""),"",P192-Q192)</x:f>
      </x:c>
      <x:c r="S192" s="32"/>
      <x:c r="T192" s="32"/>
      <x:c r="U192" s="32"/>
      <x:c r="V192" s="32"/>
      <x:c r="W192" s="32"/>
      <x:c r="X192" s="32"/>
      <x:c r="Y192" s="43" t="str">
        <x:f>IF(OR(X192="",X192="Pending"),"",IF(X192="Rejected",0,IF(AND(U192="Ya",V192="Ya",W192="Ya"),1,"")))</x:f>
      </x:c>
      <x:c r="AA192" s="32"/>
      <x:c r="AB192" s="32"/>
      <x:c r="AC192" s="32"/>
      <x:c r="AD192" s="32"/>
      <x:c r="AE192" s="32"/>
      <x:c r="AF192" s="32"/>
      <x:c r="AG192" s="33" t="str">
        <x:f>IF(OR(AE192="",AF192=""),"",IF(AE192="Positif",IF(AF192="Positif","TP","FN"),IF(AF192="Positif","FP","TN")))</x:f>
      </x:c>
    </x:row>
    <x:row r="193">
      <x:c r="A193" s="32"/>
      <x:c r="B193" s="32"/>
      <x:c r="C193" s="32"/>
      <x:c r="D193" s="35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7"/>
      <x:c r="O193" s="32"/>
      <x:c r="P193" s="40"/>
      <x:c r="Q193" s="40"/>
      <x:c r="R193" s="41" t="str">
        <x:f>IF(OR(P193="",Q193=""),"",P193-Q193)</x:f>
      </x:c>
      <x:c r="S193" s="32"/>
      <x:c r="T193" s="32"/>
      <x:c r="U193" s="32"/>
      <x:c r="V193" s="32"/>
      <x:c r="W193" s="32"/>
      <x:c r="X193" s="32"/>
      <x:c r="Y193" s="43" t="str">
        <x:f>IF(OR(X193="",X193="Pending"),"",IF(X193="Rejected",0,IF(AND(U193="Ya",V193="Ya",W193="Ya"),1,"")))</x:f>
      </x:c>
      <x:c r="AA193" s="32"/>
      <x:c r="AB193" s="32"/>
      <x:c r="AC193" s="32"/>
      <x:c r="AD193" s="32"/>
      <x:c r="AE193" s="32"/>
      <x:c r="AF193" s="32"/>
      <x:c r="AG193" s="33" t="str">
        <x:f>IF(OR(AE193="",AF193=""),"",IF(AE193="Positif",IF(AF193="Positif","TP","FN"),IF(AF193="Positif","FP","TN")))</x:f>
      </x:c>
    </x:row>
    <x:row r="194">
      <x:c r="A194" s="32"/>
      <x:c r="B194" s="32"/>
      <x:c r="C194" s="32"/>
      <x:c r="D194" s="35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7"/>
      <x:c r="O194" s="32"/>
      <x:c r="P194" s="40"/>
      <x:c r="Q194" s="40"/>
      <x:c r="R194" s="41" t="str">
        <x:f>IF(OR(P194="",Q194=""),"",P194-Q194)</x:f>
      </x:c>
      <x:c r="S194" s="32"/>
      <x:c r="T194" s="32"/>
      <x:c r="U194" s="32"/>
      <x:c r="V194" s="32"/>
      <x:c r="W194" s="32"/>
      <x:c r="X194" s="32"/>
      <x:c r="Y194" s="43" t="str">
        <x:f>IF(OR(X194="",X194="Pending"),"",IF(X194="Rejected",0,IF(AND(U194="Ya",V194="Ya",W194="Ya"),1,"")))</x:f>
      </x:c>
      <x:c r="AA194" s="32"/>
      <x:c r="AB194" s="32"/>
      <x:c r="AC194" s="32"/>
      <x:c r="AD194" s="32"/>
      <x:c r="AE194" s="32"/>
      <x:c r="AF194" s="32"/>
      <x:c r="AG194" s="33" t="str">
        <x:f>IF(OR(AE194="",AF194=""),"",IF(AE194="Positif",IF(AF194="Positif","TP","FN"),IF(AF194="Positif","FP","TN")))</x:f>
      </x:c>
    </x:row>
    <x:row r="195">
      <x:c r="A195" s="32"/>
      <x:c r="B195" s="32"/>
      <x:c r="C195" s="32"/>
      <x:c r="D195" s="35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7"/>
      <x:c r="O195" s="32"/>
      <x:c r="P195" s="40"/>
      <x:c r="Q195" s="40"/>
      <x:c r="R195" s="41" t="str">
        <x:f>IF(OR(P195="",Q195=""),"",P195-Q195)</x:f>
      </x:c>
      <x:c r="S195" s="32"/>
      <x:c r="T195" s="32"/>
      <x:c r="U195" s="32"/>
      <x:c r="V195" s="32"/>
      <x:c r="W195" s="32"/>
      <x:c r="X195" s="32"/>
      <x:c r="Y195" s="43" t="str">
        <x:f>IF(OR(X195="",X195="Pending"),"",IF(X195="Rejected",0,IF(AND(U195="Ya",V195="Ya",W195="Ya"),1,"")))</x:f>
      </x:c>
      <x:c r="AA195" s="32"/>
      <x:c r="AB195" s="32"/>
      <x:c r="AC195" s="32"/>
      <x:c r="AD195" s="32"/>
      <x:c r="AE195" s="32"/>
      <x:c r="AF195" s="32"/>
      <x:c r="AG195" s="33" t="str">
        <x:f>IF(OR(AE195="",AF195=""),"",IF(AE195="Positif",IF(AF195="Positif","TP","FN"),IF(AF195="Positif","FP","TN")))</x:f>
      </x:c>
    </x:row>
    <x:row r="196">
      <x:c r="A196" s="32"/>
      <x:c r="B196" s="32"/>
      <x:c r="C196" s="32"/>
      <x:c r="D196" s="35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7"/>
      <x:c r="O196" s="32"/>
      <x:c r="P196" s="40"/>
      <x:c r="Q196" s="40"/>
      <x:c r="R196" s="41" t="str">
        <x:f>IF(OR(P196="",Q196=""),"",P196-Q196)</x:f>
      </x:c>
      <x:c r="S196" s="32"/>
      <x:c r="T196" s="32"/>
      <x:c r="U196" s="32"/>
      <x:c r="V196" s="32"/>
      <x:c r="W196" s="32"/>
      <x:c r="X196" s="32"/>
      <x:c r="Y196" s="43" t="str">
        <x:f>IF(OR(X196="",X196="Pending"),"",IF(X196="Rejected",0,IF(AND(U196="Ya",V196="Ya",W196="Ya"),1,"")))</x:f>
      </x:c>
      <x:c r="AA196" s="32"/>
      <x:c r="AB196" s="32"/>
      <x:c r="AC196" s="32"/>
      <x:c r="AD196" s="32"/>
      <x:c r="AE196" s="32"/>
      <x:c r="AF196" s="32"/>
      <x:c r="AG196" s="33" t="str">
        <x:f>IF(OR(AE196="",AF196=""),"",IF(AE196="Positif",IF(AF196="Positif","TP","FN"),IF(AF196="Positif","FP","TN")))</x:f>
      </x:c>
    </x:row>
    <x:row r="197">
      <x:c r="A197" s="32"/>
      <x:c r="B197" s="32"/>
      <x:c r="C197" s="32"/>
      <x:c r="D197" s="35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7"/>
      <x:c r="O197" s="32"/>
      <x:c r="P197" s="40"/>
      <x:c r="Q197" s="40"/>
      <x:c r="R197" s="41" t="str">
        <x:f>IF(OR(P197="",Q197=""),"",P197-Q197)</x:f>
      </x:c>
      <x:c r="S197" s="32"/>
      <x:c r="T197" s="32"/>
      <x:c r="U197" s="32"/>
      <x:c r="V197" s="32"/>
      <x:c r="W197" s="32"/>
      <x:c r="X197" s="32"/>
      <x:c r="Y197" s="43" t="str">
        <x:f>IF(OR(X197="",X197="Pending"),"",IF(X197="Rejected",0,IF(AND(U197="Ya",V197="Ya",W197="Ya"),1,"")))</x:f>
      </x:c>
      <x:c r="AA197" s="32"/>
      <x:c r="AB197" s="32"/>
      <x:c r="AC197" s="32"/>
      <x:c r="AD197" s="32"/>
      <x:c r="AE197" s="32"/>
      <x:c r="AF197" s="32"/>
      <x:c r="AG197" s="33" t="str">
        <x:f>IF(OR(AE197="",AF197=""),"",IF(AE197="Positif",IF(AF197="Positif","TP","FN"),IF(AF197="Positif","FP","TN")))</x:f>
      </x:c>
    </x:row>
    <x:row r="198">
      <x:c r="A198" s="32"/>
      <x:c r="B198" s="32"/>
      <x:c r="C198" s="32"/>
      <x:c r="D198" s="35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7"/>
      <x:c r="O198" s="32"/>
      <x:c r="P198" s="40"/>
      <x:c r="Q198" s="40"/>
      <x:c r="R198" s="41" t="str">
        <x:f>IF(OR(P198="",Q198=""),"",P198-Q198)</x:f>
      </x:c>
      <x:c r="S198" s="32"/>
      <x:c r="T198" s="32"/>
      <x:c r="U198" s="32"/>
      <x:c r="V198" s="32"/>
      <x:c r="W198" s="32"/>
      <x:c r="X198" s="32"/>
      <x:c r="Y198" s="43" t="str">
        <x:f>IF(OR(X198="",X198="Pending"),"",IF(X198="Rejected",0,IF(AND(U198="Ya",V198="Ya",W198="Ya"),1,"")))</x:f>
      </x:c>
      <x:c r="AA198" s="32"/>
      <x:c r="AB198" s="32"/>
      <x:c r="AC198" s="32"/>
      <x:c r="AD198" s="32"/>
      <x:c r="AE198" s="32"/>
      <x:c r="AF198" s="32"/>
      <x:c r="AG198" s="33" t="str">
        <x:f>IF(OR(AE198="",AF198=""),"",IF(AE198="Positif",IF(AF198="Positif","TP","FN"),IF(AF198="Positif","FP","TN")))</x:f>
      </x:c>
    </x:row>
    <x:row r="199">
      <x:c r="A199" s="32"/>
      <x:c r="B199" s="32"/>
      <x:c r="C199" s="32"/>
      <x:c r="D199" s="35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7"/>
      <x:c r="O199" s="32"/>
      <x:c r="P199" s="40"/>
      <x:c r="Q199" s="40"/>
      <x:c r="R199" s="41" t="str">
        <x:f>IF(OR(P199="",Q199=""),"",P199-Q199)</x:f>
      </x:c>
      <x:c r="S199" s="32"/>
      <x:c r="T199" s="32"/>
      <x:c r="U199" s="32"/>
      <x:c r="V199" s="32"/>
      <x:c r="W199" s="32"/>
      <x:c r="X199" s="32"/>
      <x:c r="Y199" s="43" t="str">
        <x:f>IF(OR(X199="",X199="Pending"),"",IF(X199="Rejected",0,IF(AND(U199="Ya",V199="Ya",W199="Ya"),1,"")))</x:f>
      </x:c>
      <x:c r="AA199" s="32"/>
      <x:c r="AB199" s="32"/>
      <x:c r="AC199" s="32"/>
      <x:c r="AD199" s="32"/>
      <x:c r="AE199" s="32"/>
      <x:c r="AF199" s="32"/>
      <x:c r="AG199" s="33" t="str">
        <x:f>IF(OR(AE199="",AF199=""),"",IF(AE199="Positif",IF(AF199="Positif","TP","FN"),IF(AF199="Positif","FP","TN")))</x:f>
      </x:c>
    </x:row>
    <x:row r="200">
      <x:c r="A200" s="32"/>
      <x:c r="B200" s="32"/>
      <x:c r="C200" s="32"/>
      <x:c r="D200" s="35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7"/>
      <x:c r="O200" s="32"/>
      <x:c r="P200" s="40"/>
      <x:c r="Q200" s="40"/>
      <x:c r="R200" s="41" t="str">
        <x:f>IF(OR(P200="",Q200=""),"",P200-Q200)</x:f>
      </x:c>
      <x:c r="S200" s="32"/>
      <x:c r="T200" s="32"/>
      <x:c r="U200" s="32"/>
      <x:c r="V200" s="32"/>
      <x:c r="W200" s="32"/>
      <x:c r="X200" s="32"/>
      <x:c r="Y200" s="43" t="str">
        <x:f>IF(OR(X200="",X200="Pending"),"",IF(X200="Rejected",0,IF(AND(U200="Ya",V200="Ya",W200="Ya"),1,"")))</x:f>
      </x:c>
      <x:c r="AA200" s="32"/>
      <x:c r="AB200" s="32"/>
      <x:c r="AC200" s="32"/>
      <x:c r="AD200" s="32"/>
      <x:c r="AE200" s="32"/>
      <x:c r="AF200" s="32"/>
      <x:c r="AG200" s="33" t="str">
        <x:f>IF(OR(AE200="",AF200=""),"",IF(AE200="Positif",IF(AF200="Positif","TP","FN"),IF(AF200="Positif","FP","TN")))</x:f>
      </x:c>
    </x:row>
    <x:row r="201">
      <x:c r="A201" s="32"/>
      <x:c r="B201" s="32"/>
      <x:c r="C201" s="32"/>
      <x:c r="D201" s="35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7"/>
      <x:c r="O201" s="32"/>
      <x:c r="P201" s="40"/>
      <x:c r="Q201" s="40"/>
      <x:c r="R201" s="41" t="str">
        <x:f>IF(OR(P201="",Q201=""),"",P201-Q201)</x:f>
      </x:c>
      <x:c r="S201" s="32"/>
      <x:c r="T201" s="32"/>
      <x:c r="U201" s="32"/>
      <x:c r="V201" s="32"/>
      <x:c r="W201" s="32"/>
      <x:c r="X201" s="32"/>
      <x:c r="Y201" s="43" t="str">
        <x:f>IF(OR(X201="",X201="Pending"),"",IF(X201="Rejected",0,IF(AND(U201="Ya",V201="Ya",W201="Ya"),1,"")))</x:f>
      </x:c>
      <x:c r="AA201" s="32"/>
      <x:c r="AB201" s="32"/>
      <x:c r="AC201" s="32"/>
      <x:c r="AD201" s="32"/>
      <x:c r="AE201" s="32"/>
      <x:c r="AF201" s="32"/>
      <x:c r="AG201" s="33" t="str">
        <x:f>IF(OR(AE201="",AF201=""),"",IF(AE201="Positif",IF(AF201="Positif","TP","FN"),IF(AF201="Positif","FP","TN")))</x:f>
      </x:c>
    </x:row>
    <x:row r="202">
      <x:c r="A202" s="32"/>
      <x:c r="B202" s="32"/>
      <x:c r="C202" s="32"/>
      <x:c r="D202" s="35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7"/>
      <x:c r="O202" s="32"/>
      <x:c r="P202" s="40"/>
      <x:c r="Q202" s="40"/>
      <x:c r="R202" s="41" t="str">
        <x:f>IF(OR(P202="",Q202=""),"",P202-Q202)</x:f>
      </x:c>
      <x:c r="S202" s="32"/>
      <x:c r="T202" s="32"/>
      <x:c r="U202" s="32"/>
      <x:c r="V202" s="32"/>
      <x:c r="W202" s="32"/>
      <x:c r="X202" s="32"/>
      <x:c r="Y202" s="43" t="str">
        <x:f>IF(OR(X202="",X202="Pending"),"",IF(X202="Rejected",0,IF(AND(U202="Ya",V202="Ya",W202="Ya"),1,"")))</x:f>
      </x:c>
      <x:c r="AA202" s="32"/>
      <x:c r="AB202" s="32"/>
      <x:c r="AC202" s="32"/>
      <x:c r="AD202" s="32"/>
      <x:c r="AE202" s="32"/>
      <x:c r="AF202" s="32"/>
      <x:c r="AG202" s="33" t="str">
        <x:f>IF(OR(AE202="",AF202=""),"",IF(AE202="Positif",IF(AF202="Positif","TP","FN"),IF(AF202="Positif","FP","TN")))</x:f>
      </x:c>
    </x:row>
    <x:row r="203">
      <x:c r="A203" s="32"/>
      <x:c r="B203" s="32"/>
      <x:c r="C203" s="32"/>
      <x:c r="D203" s="35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7"/>
      <x:c r="O203" s="32"/>
      <x:c r="P203" s="40"/>
      <x:c r="Q203" s="40"/>
      <x:c r="R203" s="41" t="str">
        <x:f>IF(OR(P203="",Q203=""),"",P203-Q203)</x:f>
      </x:c>
      <x:c r="S203" s="32"/>
      <x:c r="T203" s="32"/>
      <x:c r="U203" s="32"/>
      <x:c r="V203" s="32"/>
      <x:c r="W203" s="32"/>
      <x:c r="X203" s="32"/>
      <x:c r="Y203" s="43" t="str">
        <x:f>IF(OR(X203="",X203="Pending"),"",IF(X203="Rejected",0,IF(AND(U203="Ya",V203="Ya",W203="Ya"),1,"")))</x:f>
      </x:c>
      <x:c r="AA203" s="32"/>
      <x:c r="AB203" s="32"/>
      <x:c r="AC203" s="32"/>
      <x:c r="AD203" s="32"/>
      <x:c r="AE203" s="32"/>
      <x:c r="AF203" s="32"/>
      <x:c r="AG203" s="33" t="str">
        <x:f>IF(OR(AE203="",AF203=""),"",IF(AE203="Positif",IF(AF203="Positif","TP","FN"),IF(AF203="Positif","FP","TN")))</x:f>
      </x:c>
    </x:row>
    <x:row r="204">
      <x:c r="A204" s="32"/>
      <x:c r="B204" s="32"/>
      <x:c r="C204" s="32"/>
      <x:c r="D204" s="35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7"/>
      <x:c r="O204" s="32"/>
      <x:c r="P204" s="40"/>
      <x:c r="Q204" s="40"/>
      <x:c r="R204" s="41" t="str">
        <x:f>IF(OR(P204="",Q204=""),"",P204-Q204)</x:f>
      </x:c>
      <x:c r="S204" s="32"/>
      <x:c r="T204" s="32"/>
      <x:c r="U204" s="32"/>
      <x:c r="V204" s="32"/>
      <x:c r="W204" s="32"/>
      <x:c r="X204" s="32"/>
      <x:c r="Y204" s="43" t="str">
        <x:f>IF(OR(X204="",X204="Pending"),"",IF(X204="Rejected",0,IF(AND(U204="Ya",V204="Ya",W204="Ya"),1,"")))</x:f>
      </x:c>
      <x:c r="AA204" s="32"/>
      <x:c r="AB204" s="32"/>
      <x:c r="AC204" s="32"/>
      <x:c r="AD204" s="32"/>
      <x:c r="AE204" s="32"/>
      <x:c r="AF204" s="32"/>
      <x:c r="AG204" s="33" t="str">
        <x:f>IF(OR(AE204="",AF204=""),"",IF(AE204="Positif",IF(AF204="Positif","TP","FN"),IF(AF204="Positif","FP","TN")))</x:f>
      </x:c>
    </x:row>
    <x:row r="205">
      <x:c r="A205" s="32"/>
      <x:c r="B205" s="32"/>
      <x:c r="C205" s="32"/>
      <x:c r="D205" s="35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7"/>
      <x:c r="O205" s="32"/>
      <x:c r="P205" s="40"/>
      <x:c r="Q205" s="40"/>
      <x:c r="R205" s="41" t="str">
        <x:f>IF(OR(P205="",Q205=""),"",P205-Q205)</x:f>
      </x:c>
      <x:c r="S205" s="32"/>
      <x:c r="T205" s="32"/>
      <x:c r="U205" s="32"/>
      <x:c r="V205" s="32"/>
      <x:c r="W205" s="32"/>
      <x:c r="X205" s="32"/>
      <x:c r="Y205" s="43" t="str">
        <x:f>IF(OR(X205="",X205="Pending"),"",IF(X205="Rejected",0,IF(AND(U205="Ya",V205="Ya",W205="Ya"),1,"")))</x:f>
      </x:c>
      <x:c r="AA205" s="32"/>
      <x:c r="AB205" s="32"/>
      <x:c r="AC205" s="32"/>
      <x:c r="AD205" s="32"/>
      <x:c r="AE205" s="32"/>
      <x:c r="AF205" s="32"/>
      <x:c r="AG205" s="33" t="str">
        <x:f>IF(OR(AE205="",AF205=""),"",IF(AE205="Positif",IF(AF205="Positif","TP","FN"),IF(AF205="Positif","FP","TN")))</x:f>
      </x:c>
    </x:row>
    <x:row r="206">
      <x:c r="A206" s="32"/>
      <x:c r="B206" s="32"/>
      <x:c r="C206" s="32"/>
      <x:c r="D206" s="35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7"/>
      <x:c r="O206" s="32"/>
      <x:c r="P206" s="40"/>
      <x:c r="Q206" s="40"/>
      <x:c r="R206" s="41" t="str">
        <x:f>IF(OR(P206="",Q206=""),"",P206-Q206)</x:f>
      </x:c>
      <x:c r="S206" s="32"/>
      <x:c r="T206" s="32"/>
      <x:c r="U206" s="32"/>
      <x:c r="V206" s="32"/>
      <x:c r="W206" s="32"/>
      <x:c r="X206" s="32"/>
      <x:c r="Y206" s="43" t="str">
        <x:f>IF(OR(X206="",X206="Pending"),"",IF(X206="Rejected",0,IF(AND(U206="Ya",V206="Ya",W206="Ya"),1,"")))</x:f>
      </x:c>
      <x:c r="AA206" s="32"/>
      <x:c r="AB206" s="32"/>
      <x:c r="AC206" s="32"/>
      <x:c r="AD206" s="32"/>
      <x:c r="AE206" s="32"/>
      <x:c r="AF206" s="32"/>
      <x:c r="AG206" s="33" t="str">
        <x:f>IF(OR(AE206="",AF206=""),"",IF(AE206="Positif",IF(AF206="Positif","TP","FN"),IF(AF206="Positif","FP","TN")))</x:f>
      </x:c>
    </x:row>
    <x:row r="207">
      <x:c r="A207" s="32"/>
      <x:c r="B207" s="32"/>
      <x:c r="C207" s="32"/>
      <x:c r="D207" s="35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7"/>
      <x:c r="O207" s="32"/>
      <x:c r="P207" s="40"/>
      <x:c r="Q207" s="40"/>
      <x:c r="R207" s="41" t="str">
        <x:f>IF(OR(P207="",Q207=""),"",P207-Q207)</x:f>
      </x:c>
      <x:c r="S207" s="32"/>
      <x:c r="T207" s="32"/>
      <x:c r="U207" s="32"/>
      <x:c r="V207" s="32"/>
      <x:c r="W207" s="32"/>
      <x:c r="X207" s="32"/>
      <x:c r="Y207" s="43" t="str">
        <x:f>IF(OR(X207="",X207="Pending"),"",IF(X207="Rejected",0,IF(AND(U207="Ya",V207="Ya",W207="Ya"),1,"")))</x:f>
      </x:c>
      <x:c r="AA207" s="32"/>
      <x:c r="AB207" s="32"/>
      <x:c r="AC207" s="32"/>
      <x:c r="AD207" s="32"/>
      <x:c r="AE207" s="32"/>
      <x:c r="AF207" s="32"/>
      <x:c r="AG207" s="33" t="str">
        <x:f>IF(OR(AE207="",AF207=""),"",IF(AE207="Positif",IF(AF207="Positif","TP","FN"),IF(AF207="Positif","FP","TN")))</x:f>
      </x:c>
    </x:row>
    <x:row r="208">
      <x:c r="A208" s="32"/>
      <x:c r="B208" s="32"/>
      <x:c r="C208" s="32"/>
      <x:c r="D208" s="35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7"/>
      <x:c r="O208" s="32"/>
      <x:c r="P208" s="40"/>
      <x:c r="Q208" s="40"/>
      <x:c r="R208" s="41" t="str">
        <x:f>IF(OR(P208="",Q208=""),"",P208-Q208)</x:f>
      </x:c>
      <x:c r="S208" s="32"/>
      <x:c r="T208" s="32"/>
      <x:c r="U208" s="32"/>
      <x:c r="V208" s="32"/>
      <x:c r="W208" s="32"/>
      <x:c r="X208" s="32"/>
      <x:c r="Y208" s="43" t="str">
        <x:f>IF(OR(X208="",X208="Pending"),"",IF(X208="Rejected",0,IF(AND(U208="Ya",V208="Ya",W208="Ya"),1,"")))</x:f>
      </x:c>
      <x:c r="AA208" s="32"/>
      <x:c r="AB208" s="32"/>
      <x:c r="AC208" s="32"/>
      <x:c r="AD208" s="32"/>
      <x:c r="AE208" s="32"/>
      <x:c r="AF208" s="32"/>
      <x:c r="AG208" s="33" t="str">
        <x:f>IF(OR(AE208="",AF208=""),"",IF(AE208="Positif",IF(AF208="Positif","TP","FN"),IF(AF208="Positif","FP","TN")))</x:f>
      </x:c>
    </x:row>
    <x:row r="209">
      <x:c r="A209" s="32"/>
      <x:c r="B209" s="32"/>
      <x:c r="C209" s="32"/>
      <x:c r="D209" s="35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7"/>
      <x:c r="O209" s="32"/>
      <x:c r="P209" s="40"/>
      <x:c r="Q209" s="40"/>
      <x:c r="R209" s="41" t="str">
        <x:f>IF(OR(P209="",Q209=""),"",P209-Q209)</x:f>
      </x:c>
      <x:c r="S209" s="32"/>
      <x:c r="T209" s="32"/>
      <x:c r="U209" s="32"/>
      <x:c r="V209" s="32"/>
      <x:c r="W209" s="32"/>
      <x:c r="X209" s="32"/>
      <x:c r="Y209" s="43" t="str">
        <x:f>IF(OR(X209="",X209="Pending"),"",IF(X209="Rejected",0,IF(AND(U209="Ya",V209="Ya",W209="Ya"),1,"")))</x:f>
      </x:c>
      <x:c r="AA209" s="32"/>
      <x:c r="AB209" s="32"/>
      <x:c r="AC209" s="32"/>
      <x:c r="AD209" s="32"/>
      <x:c r="AE209" s="32"/>
      <x:c r="AF209" s="32"/>
      <x:c r="AG209" s="33" t="str">
        <x:f>IF(OR(AE209="",AF209=""),"",IF(AE209="Positif",IF(AF209="Positif","TP","FN"),IF(AF209="Positif","FP","TN")))</x:f>
      </x:c>
    </x:row>
    <x:row r="210">
      <x:c r="A210" s="32"/>
      <x:c r="B210" s="32"/>
      <x:c r="C210" s="32"/>
      <x:c r="D210" s="35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7"/>
      <x:c r="O210" s="32"/>
      <x:c r="P210" s="40"/>
      <x:c r="Q210" s="40"/>
      <x:c r="R210" s="41" t="str">
        <x:f>IF(OR(P210="",Q210=""),"",P210-Q210)</x:f>
      </x:c>
      <x:c r="S210" s="32"/>
      <x:c r="T210" s="32"/>
      <x:c r="U210" s="32"/>
      <x:c r="V210" s="32"/>
      <x:c r="W210" s="32"/>
      <x:c r="X210" s="32"/>
      <x:c r="Y210" s="43" t="str">
        <x:f>IF(OR(X210="",X210="Pending"),"",IF(X210="Rejected",0,IF(AND(U210="Ya",V210="Ya",W210="Ya"),1,"")))</x:f>
      </x:c>
      <x:c r="AA210" s="32"/>
      <x:c r="AB210" s="32"/>
      <x:c r="AC210" s="32"/>
      <x:c r="AD210" s="32"/>
      <x:c r="AE210" s="32"/>
      <x:c r="AF210" s="32"/>
      <x:c r="AG210" s="33" t="str">
        <x:f>IF(OR(AE210="",AF210=""),"",IF(AE210="Positif",IF(AF210="Positif","TP","FN"),IF(AF210="Positif","FP","TN")))</x:f>
      </x:c>
    </x:row>
    <x:row r="211">
      <x:c r="A211" s="32"/>
      <x:c r="B211" s="32"/>
      <x:c r="C211" s="32"/>
      <x:c r="D211" s="35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7"/>
      <x:c r="O211" s="32"/>
      <x:c r="P211" s="40"/>
      <x:c r="Q211" s="40"/>
      <x:c r="R211" s="41" t="str">
        <x:f>IF(OR(P211="",Q211=""),"",P211-Q211)</x:f>
      </x:c>
      <x:c r="S211" s="32"/>
      <x:c r="T211" s="32"/>
      <x:c r="U211" s="32"/>
      <x:c r="V211" s="32"/>
      <x:c r="W211" s="32"/>
      <x:c r="X211" s="32"/>
      <x:c r="Y211" s="43" t="str">
        <x:f>IF(OR(X211="",X211="Pending"),"",IF(X211="Rejected",0,IF(AND(U211="Ya",V211="Ya",W211="Ya"),1,"")))</x:f>
      </x:c>
      <x:c r="AA211" s="32"/>
      <x:c r="AB211" s="32"/>
      <x:c r="AC211" s="32"/>
      <x:c r="AD211" s="32"/>
      <x:c r="AE211" s="32"/>
      <x:c r="AF211" s="32"/>
      <x:c r="AG211" s="33" t="str">
        <x:f>IF(OR(AE211="",AF211=""),"",IF(AE211="Positif",IF(AF211="Positif","TP","FN"),IF(AF211="Positif","FP","TN")))</x:f>
      </x:c>
    </x:row>
    <x:row r="212">
      <x:c r="A212" s="32"/>
      <x:c r="B212" s="32"/>
      <x:c r="C212" s="32"/>
      <x:c r="D212" s="35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7"/>
      <x:c r="O212" s="32"/>
      <x:c r="P212" s="40"/>
      <x:c r="Q212" s="40"/>
      <x:c r="R212" s="41" t="str">
        <x:f>IF(OR(P212="",Q212=""),"",P212-Q212)</x:f>
      </x:c>
      <x:c r="S212" s="32"/>
      <x:c r="T212" s="32"/>
      <x:c r="U212" s="32"/>
      <x:c r="V212" s="32"/>
      <x:c r="W212" s="32"/>
      <x:c r="X212" s="32"/>
      <x:c r="Y212" s="43" t="str">
        <x:f>IF(OR(X212="",X212="Pending"),"",IF(X212="Rejected",0,IF(AND(U212="Ya",V212="Ya",W212="Ya"),1,"")))</x:f>
      </x:c>
      <x:c r="AA212" s="32"/>
      <x:c r="AB212" s="32"/>
      <x:c r="AC212" s="32"/>
      <x:c r="AD212" s="32"/>
      <x:c r="AE212" s="32"/>
      <x:c r="AF212" s="32"/>
      <x:c r="AG212" s="33" t="str">
        <x:f>IF(OR(AE212="",AF212=""),"",IF(AE212="Positif",IF(AF212="Positif","TP","FN"),IF(AF212="Positif","FP","TN")))</x:f>
      </x:c>
    </x:row>
    <x:row r="213">
      <x:c r="A213" s="32"/>
      <x:c r="B213" s="32"/>
      <x:c r="C213" s="32"/>
      <x:c r="D213" s="35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7"/>
      <x:c r="O213" s="32"/>
      <x:c r="P213" s="40"/>
      <x:c r="Q213" s="40"/>
      <x:c r="R213" s="41" t="str">
        <x:f>IF(OR(P213="",Q213=""),"",P213-Q213)</x:f>
      </x:c>
      <x:c r="S213" s="32"/>
      <x:c r="T213" s="32"/>
      <x:c r="U213" s="32"/>
      <x:c r="V213" s="32"/>
      <x:c r="W213" s="32"/>
      <x:c r="X213" s="32"/>
      <x:c r="Y213" s="43" t="str">
        <x:f>IF(OR(X213="",X213="Pending"),"",IF(X213="Rejected",0,IF(AND(U213="Ya",V213="Ya",W213="Ya"),1,"")))</x:f>
      </x:c>
      <x:c r="AA213" s="32"/>
      <x:c r="AB213" s="32"/>
      <x:c r="AC213" s="32"/>
      <x:c r="AD213" s="32"/>
      <x:c r="AE213" s="32"/>
      <x:c r="AF213" s="32"/>
      <x:c r="AG213" s="33" t="str">
        <x:f>IF(OR(AE213="",AF213=""),"",IF(AE213="Positif",IF(AF213="Positif","TP","FN"),IF(AF213="Positif","FP","TN")))</x:f>
      </x:c>
    </x:row>
    <x:row r="214">
      <x:c r="A214" s="32"/>
      <x:c r="B214" s="32"/>
      <x:c r="C214" s="32"/>
      <x:c r="D214" s="35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7"/>
      <x:c r="O214" s="32"/>
      <x:c r="P214" s="40"/>
      <x:c r="Q214" s="40"/>
      <x:c r="R214" s="41" t="str">
        <x:f>IF(OR(P214="",Q214=""),"",P214-Q214)</x:f>
      </x:c>
      <x:c r="S214" s="32"/>
      <x:c r="T214" s="32"/>
      <x:c r="U214" s="32"/>
      <x:c r="V214" s="32"/>
      <x:c r="W214" s="32"/>
      <x:c r="X214" s="32"/>
      <x:c r="Y214" s="43" t="str">
        <x:f>IF(OR(X214="",X214="Pending"),"",IF(X214="Rejected",0,IF(AND(U214="Ya",V214="Ya",W214="Ya"),1,"")))</x:f>
      </x:c>
      <x:c r="AA214" s="32"/>
      <x:c r="AB214" s="32"/>
      <x:c r="AC214" s="32"/>
      <x:c r="AD214" s="32"/>
      <x:c r="AE214" s="32"/>
      <x:c r="AF214" s="32"/>
      <x:c r="AG214" s="33" t="str">
        <x:f>IF(OR(AE214="",AF214=""),"",IF(AE214="Positif",IF(AF214="Positif","TP","FN"),IF(AF214="Positif","FP","TN")))</x:f>
      </x:c>
    </x:row>
    <x:row r="215">
      <x:c r="A215" s="32"/>
      <x:c r="B215" s="32"/>
      <x:c r="C215" s="32"/>
      <x:c r="D215" s="35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7"/>
      <x:c r="O215" s="32"/>
      <x:c r="P215" s="40"/>
      <x:c r="Q215" s="40"/>
      <x:c r="R215" s="41" t="str">
        <x:f>IF(OR(P215="",Q215=""),"",P215-Q215)</x:f>
      </x:c>
      <x:c r="S215" s="32"/>
      <x:c r="T215" s="32"/>
      <x:c r="U215" s="32"/>
      <x:c r="V215" s="32"/>
      <x:c r="W215" s="32"/>
      <x:c r="X215" s="32"/>
      <x:c r="Y215" s="43" t="str">
        <x:f>IF(OR(X215="",X215="Pending"),"",IF(X215="Rejected",0,IF(AND(U215="Ya",V215="Ya",W215="Ya"),1,"")))</x:f>
      </x:c>
      <x:c r="AA215" s="32"/>
      <x:c r="AB215" s="32"/>
      <x:c r="AC215" s="32"/>
      <x:c r="AD215" s="32"/>
      <x:c r="AE215" s="32"/>
      <x:c r="AF215" s="32"/>
      <x:c r="AG215" s="33" t="str">
        <x:f>IF(OR(AE215="",AF215=""),"",IF(AE215="Positif",IF(AF215="Positif","TP","FN"),IF(AF215="Positif","FP","TN")))</x:f>
      </x:c>
    </x:row>
    <x:row r="216">
      <x:c r="A216" s="32"/>
      <x:c r="B216" s="32"/>
      <x:c r="C216" s="32"/>
      <x:c r="D216" s="35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7"/>
      <x:c r="O216" s="32"/>
      <x:c r="P216" s="40"/>
      <x:c r="Q216" s="40"/>
      <x:c r="R216" s="41" t="str">
        <x:f>IF(OR(P216="",Q216=""),"",P216-Q216)</x:f>
      </x:c>
      <x:c r="S216" s="32"/>
      <x:c r="T216" s="32"/>
      <x:c r="U216" s="32"/>
      <x:c r="V216" s="32"/>
      <x:c r="W216" s="32"/>
      <x:c r="X216" s="32"/>
      <x:c r="Y216" s="43" t="str">
        <x:f>IF(OR(X216="",X216="Pending"),"",IF(X216="Rejected",0,IF(AND(U216="Ya",V216="Ya",W216="Ya"),1,"")))</x:f>
      </x:c>
      <x:c r="AA216" s="32"/>
      <x:c r="AB216" s="32"/>
      <x:c r="AC216" s="32"/>
      <x:c r="AD216" s="32"/>
      <x:c r="AE216" s="32"/>
      <x:c r="AF216" s="32"/>
      <x:c r="AG216" s="33" t="str">
        <x:f>IF(OR(AE216="",AF216=""),"",IF(AE216="Positif",IF(AF216="Positif","TP","FN"),IF(AF216="Positif","FP","TN")))</x:f>
      </x:c>
    </x:row>
    <x:row r="217">
      <x:c r="A217" s="32"/>
      <x:c r="B217" s="32"/>
      <x:c r="C217" s="32"/>
      <x:c r="D217" s="35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7"/>
      <x:c r="O217" s="32"/>
      <x:c r="P217" s="40"/>
      <x:c r="Q217" s="40"/>
      <x:c r="R217" s="41" t="str">
        <x:f>IF(OR(P217="",Q217=""),"",P217-Q217)</x:f>
      </x:c>
      <x:c r="S217" s="32"/>
      <x:c r="T217" s="32"/>
      <x:c r="U217" s="32"/>
      <x:c r="V217" s="32"/>
      <x:c r="W217" s="32"/>
      <x:c r="X217" s="32"/>
      <x:c r="Y217" s="43" t="str">
        <x:f>IF(OR(X217="",X217="Pending"),"",IF(X217="Rejected",0,IF(AND(U217="Ya",V217="Ya",W217="Ya"),1,"")))</x:f>
      </x:c>
      <x:c r="AA217" s="32"/>
      <x:c r="AB217" s="32"/>
      <x:c r="AC217" s="32"/>
      <x:c r="AD217" s="32"/>
      <x:c r="AE217" s="32"/>
      <x:c r="AF217" s="32"/>
      <x:c r="AG217" s="33" t="str">
        <x:f>IF(OR(AE217="",AF217=""),"",IF(AE217="Positif",IF(AF217="Positif","TP","FN"),IF(AF217="Positif","FP","TN")))</x:f>
      </x:c>
    </x:row>
    <x:row r="218">
      <x:c r="A218" s="32"/>
      <x:c r="B218" s="32"/>
      <x:c r="C218" s="32"/>
      <x:c r="D218" s="35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7"/>
      <x:c r="O218" s="32"/>
      <x:c r="P218" s="40"/>
      <x:c r="Q218" s="40"/>
      <x:c r="R218" s="41" t="str">
        <x:f>IF(OR(P218="",Q218=""),"",P218-Q218)</x:f>
      </x:c>
      <x:c r="S218" s="32"/>
      <x:c r="T218" s="32"/>
      <x:c r="U218" s="32"/>
      <x:c r="V218" s="32"/>
      <x:c r="W218" s="32"/>
      <x:c r="X218" s="32"/>
      <x:c r="Y218" s="43" t="str">
        <x:f>IF(OR(X218="",X218="Pending"),"",IF(X218="Rejected",0,IF(AND(U218="Ya",V218="Ya",W218="Ya"),1,"")))</x:f>
      </x:c>
      <x:c r="AA218" s="32"/>
      <x:c r="AB218" s="32"/>
      <x:c r="AC218" s="32"/>
      <x:c r="AD218" s="32"/>
      <x:c r="AE218" s="32"/>
      <x:c r="AF218" s="32"/>
      <x:c r="AG218" s="33" t="str">
        <x:f>IF(OR(AE218="",AF218=""),"",IF(AE218="Positif",IF(AF218="Positif","TP","FN"),IF(AF218="Positif","FP","TN")))</x:f>
      </x:c>
    </x:row>
    <x:row r="219">
      <x:c r="A219" s="32"/>
      <x:c r="B219" s="32"/>
      <x:c r="C219" s="32"/>
      <x:c r="D219" s="35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7"/>
      <x:c r="O219" s="32"/>
      <x:c r="P219" s="40"/>
      <x:c r="Q219" s="40"/>
      <x:c r="R219" s="41" t="str">
        <x:f>IF(OR(P219="",Q219=""),"",P219-Q219)</x:f>
      </x:c>
      <x:c r="S219" s="32"/>
      <x:c r="T219" s="32"/>
      <x:c r="U219" s="32"/>
      <x:c r="V219" s="32"/>
      <x:c r="W219" s="32"/>
      <x:c r="X219" s="32"/>
      <x:c r="Y219" s="43" t="str">
        <x:f>IF(OR(X219="",X219="Pending"),"",IF(X219="Rejected",0,IF(AND(U219="Ya",V219="Ya",W219="Ya"),1,"")))</x:f>
      </x:c>
      <x:c r="AA219" s="32"/>
      <x:c r="AB219" s="32"/>
      <x:c r="AC219" s="32"/>
      <x:c r="AD219" s="32"/>
      <x:c r="AE219" s="32"/>
      <x:c r="AF219" s="32"/>
      <x:c r="AG219" s="33" t="str">
        <x:f>IF(OR(AE219="",AF219=""),"",IF(AE219="Positif",IF(AF219="Positif","TP","FN"),IF(AF219="Positif","FP","TN")))</x:f>
      </x:c>
    </x:row>
    <x:row r="220">
      <x:c r="A220" s="32"/>
      <x:c r="B220" s="32"/>
      <x:c r="C220" s="32"/>
      <x:c r="D220" s="35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7"/>
      <x:c r="O220" s="32"/>
      <x:c r="P220" s="40"/>
      <x:c r="Q220" s="40"/>
      <x:c r="R220" s="41" t="str">
        <x:f>IF(OR(P220="",Q220=""),"",P220-Q220)</x:f>
      </x:c>
      <x:c r="S220" s="32"/>
      <x:c r="T220" s="32"/>
      <x:c r="U220" s="32"/>
      <x:c r="V220" s="32"/>
      <x:c r="W220" s="32"/>
      <x:c r="X220" s="32"/>
      <x:c r="Y220" s="43" t="str">
        <x:f>IF(OR(X220="",X220="Pending"),"",IF(X220="Rejected",0,IF(AND(U220="Ya",V220="Ya",W220="Ya"),1,"")))</x:f>
      </x:c>
      <x:c r="AA220" s="32"/>
      <x:c r="AB220" s="32"/>
      <x:c r="AC220" s="32"/>
      <x:c r="AD220" s="32"/>
      <x:c r="AE220" s="32"/>
      <x:c r="AF220" s="32"/>
      <x:c r="AG220" s="33" t="str">
        <x:f>IF(OR(AE220="",AF220=""),"",IF(AE220="Positif",IF(AF220="Positif","TP","FN"),IF(AF220="Positif","FP","TN")))</x:f>
      </x:c>
    </x:row>
    <x:row r="221">
      <x:c r="A221" s="32"/>
      <x:c r="B221" s="32"/>
      <x:c r="C221" s="32"/>
      <x:c r="D221" s="35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7"/>
      <x:c r="O221" s="32"/>
      <x:c r="P221" s="40"/>
      <x:c r="Q221" s="40"/>
      <x:c r="R221" s="41" t="str">
        <x:f>IF(OR(P221="",Q221=""),"",P221-Q221)</x:f>
      </x:c>
      <x:c r="S221" s="32"/>
      <x:c r="T221" s="32"/>
      <x:c r="U221" s="32"/>
      <x:c r="V221" s="32"/>
      <x:c r="W221" s="32"/>
      <x:c r="X221" s="32"/>
      <x:c r="Y221" s="43" t="str">
        <x:f>IF(OR(X221="",X221="Pending"),"",IF(X221="Rejected",0,IF(AND(U221="Ya",V221="Ya",W221="Ya"),1,"")))</x:f>
      </x:c>
      <x:c r="AA221" s="32"/>
      <x:c r="AB221" s="32"/>
      <x:c r="AC221" s="32"/>
      <x:c r="AD221" s="32"/>
      <x:c r="AE221" s="32"/>
      <x:c r="AF221" s="32"/>
      <x:c r="AG221" s="33" t="str">
        <x:f>IF(OR(AE221="",AF221=""),"",IF(AE221="Positif",IF(AF221="Positif","TP","FN"),IF(AF221="Positif","FP","TN")))</x:f>
      </x:c>
    </x:row>
    <x:row r="222">
      <x:c r="A222" s="32"/>
      <x:c r="B222" s="32"/>
      <x:c r="C222" s="32"/>
      <x:c r="D222" s="35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7"/>
      <x:c r="O222" s="32"/>
      <x:c r="P222" s="40"/>
      <x:c r="Q222" s="40"/>
      <x:c r="R222" s="41" t="str">
        <x:f>IF(OR(P222="",Q222=""),"",P222-Q222)</x:f>
      </x:c>
      <x:c r="S222" s="32"/>
      <x:c r="T222" s="32"/>
      <x:c r="U222" s="32"/>
      <x:c r="V222" s="32"/>
      <x:c r="W222" s="32"/>
      <x:c r="X222" s="32"/>
      <x:c r="Y222" s="43" t="str">
        <x:f>IF(OR(X222="",X222="Pending"),"",IF(X222="Rejected",0,IF(AND(U222="Ya",V222="Ya",W222="Ya"),1,"")))</x:f>
      </x:c>
      <x:c r="AA222" s="32"/>
      <x:c r="AB222" s="32"/>
      <x:c r="AC222" s="32"/>
      <x:c r="AD222" s="32"/>
      <x:c r="AE222" s="32"/>
      <x:c r="AF222" s="32"/>
      <x:c r="AG222" s="33" t="str">
        <x:f>IF(OR(AE222="",AF222=""),"",IF(AE222="Positif",IF(AF222="Positif","TP","FN"),IF(AF222="Positif","FP","TN")))</x:f>
      </x:c>
    </x:row>
    <x:row r="223">
      <x:c r="A223" s="32"/>
      <x:c r="B223" s="32"/>
      <x:c r="C223" s="32"/>
      <x:c r="D223" s="35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7"/>
      <x:c r="O223" s="32"/>
      <x:c r="P223" s="40"/>
      <x:c r="Q223" s="40"/>
      <x:c r="R223" s="41" t="str">
        <x:f>IF(OR(P223="",Q223=""),"",P223-Q223)</x:f>
      </x:c>
      <x:c r="S223" s="32"/>
      <x:c r="T223" s="32"/>
      <x:c r="U223" s="32"/>
      <x:c r="V223" s="32"/>
      <x:c r="W223" s="32"/>
      <x:c r="X223" s="32"/>
      <x:c r="Y223" s="43" t="str">
        <x:f>IF(OR(X223="",X223="Pending"),"",IF(X223="Rejected",0,IF(AND(U223="Ya",V223="Ya",W223="Ya"),1,"")))</x:f>
      </x:c>
      <x:c r="AA223" s="32"/>
      <x:c r="AB223" s="32"/>
      <x:c r="AC223" s="32"/>
      <x:c r="AD223" s="32"/>
      <x:c r="AE223" s="32"/>
      <x:c r="AF223" s="32"/>
      <x:c r="AG223" s="33" t="str">
        <x:f>IF(OR(AE223="",AF223=""),"",IF(AE223="Positif",IF(AF223="Positif","TP","FN"),IF(AF223="Positif","FP","TN")))</x:f>
      </x:c>
    </x:row>
    <x:row r="224">
      <x:c r="A224" s="32"/>
      <x:c r="B224" s="32"/>
      <x:c r="C224" s="32"/>
      <x:c r="D224" s="35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7"/>
      <x:c r="O224" s="32"/>
      <x:c r="P224" s="40"/>
      <x:c r="Q224" s="40"/>
      <x:c r="R224" s="41" t="str">
        <x:f>IF(OR(P224="",Q224=""),"",P224-Q224)</x:f>
      </x:c>
      <x:c r="S224" s="32"/>
      <x:c r="T224" s="32"/>
      <x:c r="U224" s="32"/>
      <x:c r="V224" s="32"/>
      <x:c r="W224" s="32"/>
      <x:c r="X224" s="32"/>
      <x:c r="Y224" s="43" t="str">
        <x:f>IF(OR(X224="",X224="Pending"),"",IF(X224="Rejected",0,IF(AND(U224="Ya",V224="Ya",W224="Ya"),1,"")))</x:f>
      </x:c>
      <x:c r="AA224" s="32"/>
      <x:c r="AB224" s="32"/>
      <x:c r="AC224" s="32"/>
      <x:c r="AD224" s="32"/>
      <x:c r="AE224" s="32"/>
      <x:c r="AF224" s="32"/>
      <x:c r="AG224" s="33" t="str">
        <x:f>IF(OR(AE224="",AF224=""),"",IF(AE224="Positif",IF(AF224="Positif","TP","FN"),IF(AF224="Positif","FP","TN")))</x:f>
      </x:c>
    </x:row>
    <x:row r="225">
      <x:c r="A225" s="32"/>
      <x:c r="B225" s="32"/>
      <x:c r="C225" s="32"/>
      <x:c r="D225" s="35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7"/>
      <x:c r="O225" s="32"/>
      <x:c r="P225" s="40"/>
      <x:c r="Q225" s="40"/>
      <x:c r="R225" s="41" t="str">
        <x:f>IF(OR(P225="",Q225=""),"",P225-Q225)</x:f>
      </x:c>
      <x:c r="S225" s="32"/>
      <x:c r="T225" s="32"/>
      <x:c r="U225" s="32"/>
      <x:c r="V225" s="32"/>
      <x:c r="W225" s="32"/>
      <x:c r="X225" s="32"/>
      <x:c r="Y225" s="43" t="str">
        <x:f>IF(OR(X225="",X225="Pending"),"",IF(X225="Rejected",0,IF(AND(U225="Ya",V225="Ya",W225="Ya"),1,"")))</x:f>
      </x:c>
      <x:c r="AA225" s="32"/>
      <x:c r="AB225" s="32"/>
      <x:c r="AC225" s="32"/>
      <x:c r="AD225" s="32"/>
      <x:c r="AE225" s="32"/>
      <x:c r="AF225" s="32"/>
      <x:c r="AG225" s="33" t="str">
        <x:f>IF(OR(AE225="",AF225=""),"",IF(AE225="Positif",IF(AF225="Positif","TP","FN"),IF(AF225="Positif","FP","TN")))</x:f>
      </x:c>
    </x:row>
    <x:row r="226">
      <x:c r="A226" s="32"/>
      <x:c r="B226" s="32"/>
      <x:c r="C226" s="32"/>
      <x:c r="D226" s="35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7"/>
      <x:c r="O226" s="32"/>
      <x:c r="P226" s="40"/>
      <x:c r="Q226" s="40"/>
      <x:c r="R226" s="41" t="str">
        <x:f>IF(OR(P226="",Q226=""),"",P226-Q226)</x:f>
      </x:c>
      <x:c r="S226" s="32"/>
      <x:c r="T226" s="32"/>
      <x:c r="U226" s="32"/>
      <x:c r="V226" s="32"/>
      <x:c r="W226" s="32"/>
      <x:c r="X226" s="32"/>
      <x:c r="Y226" s="43" t="str">
        <x:f>IF(OR(X226="",X226="Pending"),"",IF(X226="Rejected",0,IF(AND(U226="Ya",V226="Ya",W226="Ya"),1,"")))</x:f>
      </x:c>
      <x:c r="AA226" s="32"/>
      <x:c r="AB226" s="32"/>
      <x:c r="AC226" s="32"/>
      <x:c r="AD226" s="32"/>
      <x:c r="AE226" s="32"/>
      <x:c r="AF226" s="32"/>
      <x:c r="AG226" s="33" t="str">
        <x:f>IF(OR(AE226="",AF226=""),"",IF(AE226="Positif",IF(AF226="Positif","TP","FN"),IF(AF226="Positif","FP","TN")))</x:f>
      </x:c>
    </x:row>
    <x:row r="227">
      <x:c r="A227" s="32"/>
      <x:c r="B227" s="32"/>
      <x:c r="C227" s="32"/>
      <x:c r="D227" s="35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7"/>
      <x:c r="O227" s="32"/>
      <x:c r="P227" s="40"/>
      <x:c r="Q227" s="40"/>
      <x:c r="R227" s="41" t="str">
        <x:f>IF(OR(P227="",Q227=""),"",P227-Q227)</x:f>
      </x:c>
      <x:c r="S227" s="32"/>
      <x:c r="T227" s="32"/>
      <x:c r="U227" s="32"/>
      <x:c r="V227" s="32"/>
      <x:c r="W227" s="32"/>
      <x:c r="X227" s="32"/>
      <x:c r="Y227" s="43" t="str">
        <x:f>IF(OR(X227="",X227="Pending"),"",IF(X227="Rejected",0,IF(AND(U227="Ya",V227="Ya",W227="Ya"),1,"")))</x:f>
      </x:c>
      <x:c r="AA227" s="32"/>
      <x:c r="AB227" s="32"/>
      <x:c r="AC227" s="32"/>
      <x:c r="AD227" s="32"/>
      <x:c r="AE227" s="32"/>
      <x:c r="AF227" s="32"/>
      <x:c r="AG227" s="33" t="str">
        <x:f>IF(OR(AE227="",AF227=""),"",IF(AE227="Positif",IF(AF227="Positif","TP","FN"),IF(AF227="Positif","FP","TN")))</x:f>
      </x:c>
    </x:row>
    <x:row r="228">
      <x:c r="A228" s="32"/>
      <x:c r="B228" s="32"/>
      <x:c r="C228" s="32"/>
      <x:c r="D228" s="35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7"/>
      <x:c r="O228" s="32"/>
      <x:c r="P228" s="40"/>
      <x:c r="Q228" s="40"/>
      <x:c r="R228" s="41" t="str">
        <x:f>IF(OR(P228="",Q228=""),"",P228-Q228)</x:f>
      </x:c>
      <x:c r="S228" s="32"/>
      <x:c r="T228" s="32"/>
      <x:c r="U228" s="32"/>
      <x:c r="V228" s="32"/>
      <x:c r="W228" s="32"/>
      <x:c r="X228" s="32"/>
      <x:c r="Y228" s="43" t="str">
        <x:f>IF(OR(X228="",X228="Pending"),"",IF(X228="Rejected",0,IF(AND(U228="Ya",V228="Ya",W228="Ya"),1,"")))</x:f>
      </x:c>
      <x:c r="AA228" s="32"/>
      <x:c r="AB228" s="32"/>
      <x:c r="AC228" s="32"/>
      <x:c r="AD228" s="32"/>
      <x:c r="AE228" s="32"/>
      <x:c r="AF228" s="32"/>
      <x:c r="AG228" s="33" t="str">
        <x:f>IF(OR(AE228="",AF228=""),"",IF(AE228="Positif",IF(AF228="Positif","TP","FN"),IF(AF228="Positif","FP","TN")))</x:f>
      </x:c>
    </x:row>
    <x:row r="229">
      <x:c r="A229" s="32"/>
      <x:c r="B229" s="32"/>
      <x:c r="C229" s="32"/>
      <x:c r="D229" s="35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7"/>
      <x:c r="O229" s="32"/>
      <x:c r="P229" s="40"/>
      <x:c r="Q229" s="40"/>
      <x:c r="R229" s="41" t="str">
        <x:f>IF(OR(P229="",Q229=""),"",P229-Q229)</x:f>
      </x:c>
      <x:c r="S229" s="32"/>
      <x:c r="T229" s="32"/>
      <x:c r="U229" s="32"/>
      <x:c r="V229" s="32"/>
      <x:c r="W229" s="32"/>
      <x:c r="X229" s="32"/>
      <x:c r="Y229" s="43" t="str">
        <x:f>IF(OR(X229="",X229="Pending"),"",IF(X229="Rejected",0,IF(AND(U229="Ya",V229="Ya",W229="Ya"),1,"")))</x:f>
      </x:c>
      <x:c r="AA229" s="32"/>
      <x:c r="AB229" s="32"/>
      <x:c r="AC229" s="32"/>
      <x:c r="AD229" s="32"/>
      <x:c r="AE229" s="32"/>
      <x:c r="AF229" s="32"/>
      <x:c r="AG229" s="33" t="str">
        <x:f>IF(OR(AE229="",AF229=""),"",IF(AE229="Positif",IF(AF229="Positif","TP","FN"),IF(AF229="Positif","FP","TN")))</x:f>
      </x:c>
    </x:row>
    <x:row r="230">
      <x:c r="A230" s="32"/>
      <x:c r="B230" s="32"/>
      <x:c r="C230" s="32"/>
      <x:c r="D230" s="35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7"/>
      <x:c r="O230" s="32"/>
      <x:c r="P230" s="40"/>
      <x:c r="Q230" s="40"/>
      <x:c r="R230" s="41" t="str">
        <x:f>IF(OR(P230="",Q230=""),"",P230-Q230)</x:f>
      </x:c>
      <x:c r="S230" s="32"/>
      <x:c r="T230" s="32"/>
      <x:c r="U230" s="32"/>
      <x:c r="V230" s="32"/>
      <x:c r="W230" s="32"/>
      <x:c r="X230" s="32"/>
      <x:c r="Y230" s="43" t="str">
        <x:f>IF(OR(X230="",X230="Pending"),"",IF(X230="Rejected",0,IF(AND(U230="Ya",V230="Ya",W230="Ya"),1,"")))</x:f>
      </x:c>
      <x:c r="AA230" s="32"/>
      <x:c r="AB230" s="32"/>
      <x:c r="AC230" s="32"/>
      <x:c r="AD230" s="32"/>
      <x:c r="AE230" s="32"/>
      <x:c r="AF230" s="32"/>
      <x:c r="AG230" s="33" t="str">
        <x:f>IF(OR(AE230="",AF230=""),"",IF(AE230="Positif",IF(AF230="Positif","TP","FN"),IF(AF230="Positif","FP","TN")))</x:f>
      </x:c>
    </x:row>
    <x:row r="231">
      <x:c r="A231" s="32"/>
      <x:c r="B231" s="32"/>
      <x:c r="C231" s="32"/>
      <x:c r="D231" s="35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7"/>
      <x:c r="O231" s="32"/>
      <x:c r="P231" s="40"/>
      <x:c r="Q231" s="40"/>
      <x:c r="R231" s="41" t="str">
        <x:f>IF(OR(P231="",Q231=""),"",P231-Q231)</x:f>
      </x:c>
      <x:c r="S231" s="32"/>
      <x:c r="T231" s="32"/>
      <x:c r="U231" s="32"/>
      <x:c r="V231" s="32"/>
      <x:c r="W231" s="32"/>
      <x:c r="X231" s="32"/>
      <x:c r="Y231" s="43" t="str">
        <x:f>IF(OR(X231="",X231="Pending"),"",IF(X231="Rejected",0,IF(AND(U231="Ya",V231="Ya",W231="Ya"),1,"")))</x:f>
      </x:c>
      <x:c r="AA231" s="32"/>
      <x:c r="AB231" s="32"/>
      <x:c r="AC231" s="32"/>
      <x:c r="AD231" s="32"/>
      <x:c r="AE231" s="32"/>
      <x:c r="AF231" s="32"/>
      <x:c r="AG231" s="33" t="str">
        <x:f>IF(OR(AE231="",AF231=""),"",IF(AE231="Positif",IF(AF231="Positif","TP","FN"),IF(AF231="Positif","FP","TN")))</x:f>
      </x:c>
    </x:row>
    <x:row r="232">
      <x:c r="A232" s="32"/>
      <x:c r="B232" s="32"/>
      <x:c r="C232" s="32"/>
      <x:c r="D232" s="35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7"/>
      <x:c r="O232" s="32"/>
      <x:c r="P232" s="40"/>
      <x:c r="Q232" s="40"/>
      <x:c r="R232" s="41" t="str">
        <x:f>IF(OR(P232="",Q232=""),"",P232-Q232)</x:f>
      </x:c>
      <x:c r="S232" s="32"/>
      <x:c r="T232" s="32"/>
      <x:c r="U232" s="32"/>
      <x:c r="V232" s="32"/>
      <x:c r="W232" s="32"/>
      <x:c r="X232" s="32"/>
      <x:c r="Y232" s="43" t="str">
        <x:f>IF(OR(X232="",X232="Pending"),"",IF(X232="Rejected",0,IF(AND(U232="Ya",V232="Ya",W232="Ya"),1,"")))</x:f>
      </x:c>
      <x:c r="AA232" s="32"/>
      <x:c r="AB232" s="32"/>
      <x:c r="AC232" s="32"/>
      <x:c r="AD232" s="32"/>
      <x:c r="AE232" s="32"/>
      <x:c r="AF232" s="32"/>
      <x:c r="AG232" s="33" t="str">
        <x:f>IF(OR(AE232="",AF232=""),"",IF(AE232="Positif",IF(AF232="Positif","TP","FN"),IF(AF232="Positif","FP","TN")))</x:f>
      </x:c>
    </x:row>
    <x:row r="233">
      <x:c r="A233" s="32"/>
      <x:c r="B233" s="32"/>
      <x:c r="C233" s="32"/>
      <x:c r="D233" s="35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7"/>
      <x:c r="O233" s="32"/>
      <x:c r="P233" s="40"/>
      <x:c r="Q233" s="40"/>
      <x:c r="R233" s="41" t="str">
        <x:f>IF(OR(P233="",Q233=""),"",P233-Q233)</x:f>
      </x:c>
      <x:c r="S233" s="32"/>
      <x:c r="T233" s="32"/>
      <x:c r="U233" s="32"/>
      <x:c r="V233" s="32"/>
      <x:c r="W233" s="32"/>
      <x:c r="X233" s="32"/>
      <x:c r="Y233" s="43" t="str">
        <x:f>IF(OR(X233="",X233="Pending"),"",IF(X233="Rejected",0,IF(AND(U233="Ya",V233="Ya",W233="Ya"),1,"")))</x:f>
      </x:c>
      <x:c r="AA233" s="32"/>
      <x:c r="AB233" s="32"/>
      <x:c r="AC233" s="32"/>
      <x:c r="AD233" s="32"/>
      <x:c r="AE233" s="32"/>
      <x:c r="AF233" s="32"/>
      <x:c r="AG233" s="33" t="str">
        <x:f>IF(OR(AE233="",AF233=""),"",IF(AE233="Positif",IF(AF233="Positif","TP","FN"),IF(AF233="Positif","FP","TN")))</x:f>
      </x:c>
    </x:row>
    <x:row r="234">
      <x:c r="A234" s="32"/>
      <x:c r="B234" s="32"/>
      <x:c r="C234" s="32"/>
      <x:c r="D234" s="35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7"/>
      <x:c r="O234" s="32"/>
      <x:c r="P234" s="40"/>
      <x:c r="Q234" s="40"/>
      <x:c r="R234" s="41" t="str">
        <x:f>IF(OR(P234="",Q234=""),"",P234-Q234)</x:f>
      </x:c>
      <x:c r="S234" s="32"/>
      <x:c r="T234" s="32"/>
      <x:c r="U234" s="32"/>
      <x:c r="V234" s="32"/>
      <x:c r="W234" s="32"/>
      <x:c r="X234" s="32"/>
      <x:c r="Y234" s="43" t="str">
        <x:f>IF(OR(X234="",X234="Pending"),"",IF(X234="Rejected",0,IF(AND(U234="Ya",V234="Ya",W234="Ya"),1,"")))</x:f>
      </x:c>
      <x:c r="AA234" s="32"/>
      <x:c r="AB234" s="32"/>
      <x:c r="AC234" s="32"/>
      <x:c r="AD234" s="32"/>
      <x:c r="AE234" s="32"/>
      <x:c r="AF234" s="32"/>
      <x:c r="AG234" s="33" t="str">
        <x:f>IF(OR(AE234="",AF234=""),"",IF(AE234="Positif",IF(AF234="Positif","TP","FN"),IF(AF234="Positif","FP","TN")))</x:f>
      </x:c>
    </x:row>
    <x:row r="235">
      <x:c r="A235" s="32"/>
      <x:c r="B235" s="32"/>
      <x:c r="C235" s="32"/>
      <x:c r="D235" s="35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7"/>
      <x:c r="O235" s="32"/>
      <x:c r="P235" s="40"/>
      <x:c r="Q235" s="40"/>
      <x:c r="R235" s="41" t="str">
        <x:f>IF(OR(P235="",Q235=""),"",P235-Q235)</x:f>
      </x:c>
      <x:c r="S235" s="32"/>
      <x:c r="T235" s="32"/>
      <x:c r="U235" s="32"/>
      <x:c r="V235" s="32"/>
      <x:c r="W235" s="32"/>
      <x:c r="X235" s="32"/>
      <x:c r="Y235" s="43" t="str">
        <x:f>IF(OR(X235="",X235="Pending"),"",IF(X235="Rejected",0,IF(AND(U235="Ya",V235="Ya",W235="Ya"),1,"")))</x:f>
      </x:c>
      <x:c r="AA235" s="32"/>
      <x:c r="AB235" s="32"/>
      <x:c r="AC235" s="32"/>
      <x:c r="AD235" s="32"/>
      <x:c r="AE235" s="32"/>
      <x:c r="AF235" s="32"/>
      <x:c r="AG235" s="33" t="str">
        <x:f>IF(OR(AE235="",AF235=""),"",IF(AE235="Positif",IF(AF235="Positif","TP","FN"),IF(AF235="Positif","FP","TN")))</x:f>
      </x:c>
    </x:row>
    <x:row r="236">
      <x:c r="A236" s="32"/>
      <x:c r="B236" s="32"/>
      <x:c r="C236" s="32"/>
      <x:c r="D236" s="35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7"/>
      <x:c r="O236" s="32"/>
      <x:c r="P236" s="40"/>
      <x:c r="Q236" s="40"/>
      <x:c r="R236" s="41" t="str">
        <x:f>IF(OR(P236="",Q236=""),"",P236-Q236)</x:f>
      </x:c>
      <x:c r="S236" s="32"/>
      <x:c r="T236" s="32"/>
      <x:c r="U236" s="32"/>
      <x:c r="V236" s="32"/>
      <x:c r="W236" s="32"/>
      <x:c r="X236" s="32"/>
      <x:c r="Y236" s="43" t="str">
        <x:f>IF(OR(X236="",X236="Pending"),"",IF(X236="Rejected",0,IF(AND(U236="Ya",V236="Ya",W236="Ya"),1,"")))</x:f>
      </x:c>
      <x:c r="AA236" s="32"/>
      <x:c r="AB236" s="32"/>
      <x:c r="AC236" s="32"/>
      <x:c r="AD236" s="32"/>
      <x:c r="AE236" s="32"/>
      <x:c r="AF236" s="32"/>
      <x:c r="AG236" s="33" t="str">
        <x:f>IF(OR(AE236="",AF236=""),"",IF(AE236="Positif",IF(AF236="Positif","TP","FN"),IF(AF236="Positif","FP","TN")))</x:f>
      </x:c>
    </x:row>
    <x:row r="237">
      <x:c r="A237" s="32"/>
      <x:c r="B237" s="32"/>
      <x:c r="C237" s="32"/>
      <x:c r="D237" s="35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7"/>
      <x:c r="O237" s="32"/>
      <x:c r="P237" s="40"/>
      <x:c r="Q237" s="40"/>
      <x:c r="R237" s="41" t="str">
        <x:f>IF(OR(P237="",Q237=""),"",P237-Q237)</x:f>
      </x:c>
      <x:c r="S237" s="32"/>
      <x:c r="T237" s="32"/>
      <x:c r="U237" s="32"/>
      <x:c r="V237" s="32"/>
      <x:c r="W237" s="32"/>
      <x:c r="X237" s="32"/>
      <x:c r="Y237" s="43" t="str">
        <x:f>IF(OR(X237="",X237="Pending"),"",IF(X237="Rejected",0,IF(AND(U237="Ya",V237="Ya",W237="Ya"),1,"")))</x:f>
      </x:c>
      <x:c r="AA237" s="32"/>
      <x:c r="AB237" s="32"/>
      <x:c r="AC237" s="32"/>
      <x:c r="AD237" s="32"/>
      <x:c r="AE237" s="32"/>
      <x:c r="AF237" s="32"/>
      <x:c r="AG237" s="33" t="str">
        <x:f>IF(OR(AE237="",AF237=""),"",IF(AE237="Positif",IF(AF237="Positif","TP","FN"),IF(AF237="Positif","FP","TN")))</x:f>
      </x:c>
    </x:row>
    <x:row r="238">
      <x:c r="A238" s="32"/>
      <x:c r="B238" s="32"/>
      <x:c r="C238" s="32"/>
      <x:c r="D238" s="35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7"/>
      <x:c r="O238" s="32"/>
      <x:c r="P238" s="40"/>
      <x:c r="Q238" s="40"/>
      <x:c r="R238" s="41" t="str">
        <x:f>IF(OR(P238="",Q238=""),"",P238-Q238)</x:f>
      </x:c>
      <x:c r="S238" s="32"/>
      <x:c r="T238" s="32"/>
      <x:c r="U238" s="32"/>
      <x:c r="V238" s="32"/>
      <x:c r="W238" s="32"/>
      <x:c r="X238" s="32"/>
      <x:c r="Y238" s="43" t="str">
        <x:f>IF(OR(X238="",X238="Pending"),"",IF(X238="Rejected",0,IF(AND(U238="Ya",V238="Ya",W238="Ya"),1,"")))</x:f>
      </x:c>
      <x:c r="AA238" s="32"/>
      <x:c r="AB238" s="32"/>
      <x:c r="AC238" s="32"/>
      <x:c r="AD238" s="32"/>
      <x:c r="AE238" s="32"/>
      <x:c r="AF238" s="32"/>
      <x:c r="AG238" s="33" t="str">
        <x:f>IF(OR(AE238="",AF238=""),"",IF(AE238="Positif",IF(AF238="Positif","TP","FN"),IF(AF238="Positif","FP","TN")))</x:f>
      </x:c>
    </x:row>
    <x:row r="239">
      <x:c r="A239" s="32"/>
      <x:c r="B239" s="32"/>
      <x:c r="C239" s="32"/>
      <x:c r="D239" s="35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7"/>
      <x:c r="O239" s="32"/>
      <x:c r="P239" s="40"/>
      <x:c r="Q239" s="40"/>
      <x:c r="R239" s="41" t="str">
        <x:f>IF(OR(P239="",Q239=""),"",P239-Q239)</x:f>
      </x:c>
      <x:c r="S239" s="32"/>
      <x:c r="T239" s="32"/>
      <x:c r="U239" s="32"/>
      <x:c r="V239" s="32"/>
      <x:c r="W239" s="32"/>
      <x:c r="X239" s="32"/>
      <x:c r="Y239" s="43" t="str">
        <x:f>IF(OR(X239="",X239="Pending"),"",IF(X239="Rejected",0,IF(AND(U239="Ya",V239="Ya",W239="Ya"),1,"")))</x:f>
      </x:c>
      <x:c r="AA239" s="32"/>
      <x:c r="AB239" s="32"/>
      <x:c r="AC239" s="32"/>
      <x:c r="AD239" s="32"/>
      <x:c r="AE239" s="32"/>
      <x:c r="AF239" s="32"/>
      <x:c r="AG239" s="33" t="str">
        <x:f>IF(OR(AE239="",AF239=""),"",IF(AE239="Positif",IF(AF239="Positif","TP","FN"),IF(AF239="Positif","FP","TN")))</x:f>
      </x:c>
    </x:row>
    <x:row r="240">
      <x:c r="A240" s="32"/>
      <x:c r="B240" s="32"/>
      <x:c r="C240" s="32"/>
      <x:c r="D240" s="35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7"/>
      <x:c r="O240" s="32"/>
      <x:c r="P240" s="40"/>
      <x:c r="Q240" s="40"/>
      <x:c r="R240" s="41" t="str">
        <x:f>IF(OR(P240="",Q240=""),"",P240-Q240)</x:f>
      </x:c>
      <x:c r="S240" s="32"/>
      <x:c r="T240" s="32"/>
      <x:c r="U240" s="32"/>
      <x:c r="V240" s="32"/>
      <x:c r="W240" s="32"/>
      <x:c r="X240" s="32"/>
      <x:c r="Y240" s="43" t="str">
        <x:f>IF(OR(X240="",X240="Pending"),"",IF(X240="Rejected",0,IF(AND(U240="Ya",V240="Ya",W240="Ya"),1,"")))</x:f>
      </x:c>
      <x:c r="AA240" s="32"/>
      <x:c r="AB240" s="32"/>
      <x:c r="AC240" s="32"/>
      <x:c r="AD240" s="32"/>
      <x:c r="AE240" s="32"/>
      <x:c r="AF240" s="32"/>
      <x:c r="AG240" s="33" t="str">
        <x:f>IF(OR(AE240="",AF240=""),"",IF(AE240="Positif",IF(AF240="Positif","TP","FN"),IF(AF240="Positif","FP","TN")))</x:f>
      </x:c>
    </x:row>
    <x:row r="241">
      <x:c r="A241" s="32"/>
      <x:c r="B241" s="32"/>
      <x:c r="C241" s="32"/>
      <x:c r="D241" s="35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7"/>
      <x:c r="O241" s="32"/>
      <x:c r="P241" s="40"/>
      <x:c r="Q241" s="40"/>
      <x:c r="R241" s="41" t="str">
        <x:f>IF(OR(P241="",Q241=""),"",P241-Q241)</x:f>
      </x:c>
      <x:c r="S241" s="32"/>
      <x:c r="T241" s="32"/>
      <x:c r="U241" s="32"/>
      <x:c r="V241" s="32"/>
      <x:c r="W241" s="32"/>
      <x:c r="X241" s="32"/>
      <x:c r="Y241" s="43" t="str">
        <x:f>IF(OR(X241="",X241="Pending"),"",IF(X241="Rejected",0,IF(AND(U241="Ya",V241="Ya",W241="Ya"),1,"")))</x:f>
      </x:c>
      <x:c r="AA241" s="32"/>
      <x:c r="AB241" s="32"/>
      <x:c r="AC241" s="32"/>
      <x:c r="AD241" s="32"/>
      <x:c r="AE241" s="32"/>
      <x:c r="AF241" s="32"/>
      <x:c r="AG241" s="33" t="str">
        <x:f>IF(OR(AE241="",AF241=""),"",IF(AE241="Positif",IF(AF241="Positif","TP","FN"),IF(AF241="Positif","FP","TN")))</x:f>
      </x:c>
    </x:row>
    <x:row r="242">
      <x:c r="A242" s="32"/>
      <x:c r="B242" s="32"/>
      <x:c r="C242" s="32"/>
      <x:c r="D242" s="35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7"/>
      <x:c r="O242" s="32"/>
      <x:c r="P242" s="40"/>
      <x:c r="Q242" s="40"/>
      <x:c r="R242" s="41" t="str">
        <x:f>IF(OR(P242="",Q242=""),"",P242-Q242)</x:f>
      </x:c>
      <x:c r="S242" s="32"/>
      <x:c r="T242" s="32"/>
      <x:c r="U242" s="32"/>
      <x:c r="V242" s="32"/>
      <x:c r="W242" s="32"/>
      <x:c r="X242" s="32"/>
      <x:c r="Y242" s="43" t="str">
        <x:f>IF(OR(X242="",X242="Pending"),"",IF(X242="Rejected",0,IF(AND(U242="Ya",V242="Ya",W242="Ya"),1,"")))</x:f>
      </x:c>
      <x:c r="AA242" s="32"/>
      <x:c r="AB242" s="32"/>
      <x:c r="AC242" s="32"/>
      <x:c r="AD242" s="32"/>
      <x:c r="AE242" s="32"/>
      <x:c r="AF242" s="32"/>
      <x:c r="AG242" s="33" t="str">
        <x:f>IF(OR(AE242="",AF242=""),"",IF(AE242="Positif",IF(AF242="Positif","TP","FN"),IF(AF242="Positif","FP","TN")))</x:f>
      </x:c>
    </x:row>
    <x:row r="243">
      <x:c r="A243" s="32"/>
      <x:c r="B243" s="32"/>
      <x:c r="C243" s="32"/>
      <x:c r="D243" s="35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7"/>
      <x:c r="O243" s="32"/>
      <x:c r="P243" s="40"/>
      <x:c r="Q243" s="40"/>
      <x:c r="R243" s="41" t="str">
        <x:f>IF(OR(P243="",Q243=""),"",P243-Q243)</x:f>
      </x:c>
      <x:c r="S243" s="32"/>
      <x:c r="T243" s="32"/>
      <x:c r="U243" s="32"/>
      <x:c r="V243" s="32"/>
      <x:c r="W243" s="32"/>
      <x:c r="X243" s="32"/>
      <x:c r="Y243" s="43" t="str">
        <x:f>IF(OR(X243="",X243="Pending"),"",IF(X243="Rejected",0,IF(AND(U243="Ya",V243="Ya",W243="Ya"),1,"")))</x:f>
      </x:c>
      <x:c r="AA243" s="32"/>
      <x:c r="AB243" s="32"/>
      <x:c r="AC243" s="32"/>
      <x:c r="AD243" s="32"/>
      <x:c r="AE243" s="32"/>
      <x:c r="AF243" s="32"/>
      <x:c r="AG243" s="33" t="str">
        <x:f>IF(OR(AE243="",AF243=""),"",IF(AE243="Positif",IF(AF243="Positif","TP","FN"),IF(AF243="Positif","FP","TN")))</x:f>
      </x:c>
    </x:row>
    <x:row r="244">
      <x:c r="A244" s="32"/>
      <x:c r="B244" s="32"/>
      <x:c r="C244" s="32"/>
      <x:c r="D244" s="35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7"/>
      <x:c r="O244" s="32"/>
      <x:c r="P244" s="40"/>
      <x:c r="Q244" s="40"/>
      <x:c r="R244" s="41" t="str">
        <x:f>IF(OR(P244="",Q244=""),"",P244-Q244)</x:f>
      </x:c>
      <x:c r="S244" s="32"/>
      <x:c r="T244" s="32"/>
      <x:c r="U244" s="32"/>
      <x:c r="V244" s="32"/>
      <x:c r="W244" s="32"/>
      <x:c r="X244" s="32"/>
      <x:c r="Y244" s="43" t="str">
        <x:f>IF(OR(X244="",X244="Pending"),"",IF(X244="Rejected",0,IF(AND(U244="Ya",V244="Ya",W244="Ya"),1,"")))</x:f>
      </x:c>
      <x:c r="AA244" s="32"/>
      <x:c r="AB244" s="32"/>
      <x:c r="AC244" s="32"/>
      <x:c r="AD244" s="32"/>
      <x:c r="AE244" s="32"/>
      <x:c r="AF244" s="32"/>
      <x:c r="AG244" s="33" t="str">
        <x:f>IF(OR(AE244="",AF244=""),"",IF(AE244="Positif",IF(AF244="Positif","TP","FN"),IF(AF244="Positif","FP","TN")))</x:f>
      </x:c>
    </x:row>
    <x:row r="245">
      <x:c r="A245" s="32"/>
      <x:c r="B245" s="32"/>
      <x:c r="C245" s="32"/>
      <x:c r="D245" s="35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7"/>
      <x:c r="O245" s="32"/>
      <x:c r="P245" s="40"/>
      <x:c r="Q245" s="40"/>
      <x:c r="R245" s="41" t="str">
        <x:f>IF(OR(P245="",Q245=""),"",P245-Q245)</x:f>
      </x:c>
      <x:c r="S245" s="32"/>
      <x:c r="T245" s="32"/>
      <x:c r="U245" s="32"/>
      <x:c r="V245" s="32"/>
      <x:c r="W245" s="32"/>
      <x:c r="X245" s="32"/>
      <x:c r="Y245" s="43" t="str">
        <x:f>IF(OR(X245="",X245="Pending"),"",IF(X245="Rejected",0,IF(AND(U245="Ya",V245="Ya",W245="Ya"),1,"")))</x:f>
      </x:c>
      <x:c r="AA245" s="32"/>
      <x:c r="AB245" s="32"/>
      <x:c r="AC245" s="32"/>
      <x:c r="AD245" s="32"/>
      <x:c r="AE245" s="32"/>
      <x:c r="AF245" s="32"/>
      <x:c r="AG245" s="33" t="str">
        <x:f>IF(OR(AE245="",AF245=""),"",IF(AE245="Positif",IF(AF245="Positif","TP","FN"),IF(AF245="Positif","FP","TN")))</x:f>
      </x:c>
    </x:row>
    <x:row r="246">
      <x:c r="A246" s="32"/>
      <x:c r="B246" s="32"/>
      <x:c r="C246" s="32"/>
      <x:c r="D246" s="35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7"/>
      <x:c r="O246" s="32"/>
      <x:c r="P246" s="40"/>
      <x:c r="Q246" s="40"/>
      <x:c r="R246" s="41" t="str">
        <x:f>IF(OR(P246="",Q246=""),"",P246-Q246)</x:f>
      </x:c>
      <x:c r="S246" s="32"/>
      <x:c r="T246" s="32"/>
      <x:c r="U246" s="32"/>
      <x:c r="V246" s="32"/>
      <x:c r="W246" s="32"/>
      <x:c r="X246" s="32"/>
      <x:c r="Y246" s="43" t="str">
        <x:f>IF(OR(X246="",X246="Pending"),"",IF(X246="Rejected",0,IF(AND(U246="Ya",V246="Ya",W246="Ya"),1,"")))</x:f>
      </x:c>
      <x:c r="AA246" s="32"/>
      <x:c r="AB246" s="32"/>
      <x:c r="AC246" s="32"/>
      <x:c r="AD246" s="32"/>
      <x:c r="AE246" s="32"/>
      <x:c r="AF246" s="32"/>
      <x:c r="AG246" s="33" t="str">
        <x:f>IF(OR(AE246="",AF246=""),"",IF(AE246="Positif",IF(AF246="Positif","TP","FN"),IF(AF246="Positif","FP","TN")))</x:f>
      </x:c>
    </x:row>
    <x:row r="247">
      <x:c r="A247" s="32"/>
      <x:c r="B247" s="32"/>
      <x:c r="C247" s="32"/>
      <x:c r="D247" s="35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7"/>
      <x:c r="O247" s="32"/>
      <x:c r="P247" s="40"/>
      <x:c r="Q247" s="40"/>
      <x:c r="R247" s="41" t="str">
        <x:f>IF(OR(P247="",Q247=""),"",P247-Q247)</x:f>
      </x:c>
      <x:c r="S247" s="32"/>
      <x:c r="T247" s="32"/>
      <x:c r="U247" s="32"/>
      <x:c r="V247" s="32"/>
      <x:c r="W247" s="32"/>
      <x:c r="X247" s="32"/>
      <x:c r="Y247" s="43" t="str">
        <x:f>IF(OR(X247="",X247="Pending"),"",IF(X247="Rejected",0,IF(AND(U247="Ya",V247="Ya",W247="Ya"),1,"")))</x:f>
      </x:c>
      <x:c r="AA247" s="32"/>
      <x:c r="AB247" s="32"/>
      <x:c r="AC247" s="32"/>
      <x:c r="AD247" s="32"/>
      <x:c r="AE247" s="32"/>
      <x:c r="AF247" s="32"/>
      <x:c r="AG247" s="33" t="str">
        <x:f>IF(OR(AE247="",AF247=""),"",IF(AE247="Positif",IF(AF247="Positif","TP","FN"),IF(AF247="Positif","FP","TN")))</x:f>
      </x:c>
    </x:row>
    <x:row r="248">
      <x:c r="A248" s="32"/>
      <x:c r="B248" s="32"/>
      <x:c r="C248" s="32"/>
      <x:c r="D248" s="35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7"/>
      <x:c r="O248" s="32"/>
      <x:c r="P248" s="40"/>
      <x:c r="Q248" s="40"/>
      <x:c r="R248" s="41" t="str">
        <x:f>IF(OR(P248="",Q248=""),"",P248-Q248)</x:f>
      </x:c>
      <x:c r="S248" s="32"/>
      <x:c r="T248" s="32"/>
      <x:c r="U248" s="32"/>
      <x:c r="V248" s="32"/>
      <x:c r="W248" s="32"/>
      <x:c r="X248" s="32"/>
      <x:c r="Y248" s="43" t="str">
        <x:f>IF(OR(X248="",X248="Pending"),"",IF(X248="Rejected",0,IF(AND(U248="Ya",V248="Ya",W248="Ya"),1,"")))</x:f>
      </x:c>
      <x:c r="AA248" s="32"/>
      <x:c r="AB248" s="32"/>
      <x:c r="AC248" s="32"/>
      <x:c r="AD248" s="32"/>
      <x:c r="AE248" s="32"/>
      <x:c r="AF248" s="32"/>
      <x:c r="AG248" s="33" t="str">
        <x:f>IF(OR(AE248="",AF248=""),"",IF(AE248="Positif",IF(AF248="Positif","TP","FN"),IF(AF248="Positif","FP","TN")))</x:f>
      </x:c>
    </x:row>
    <x:row r="249">
      <x:c r="A249" s="32"/>
      <x:c r="B249" s="32"/>
      <x:c r="C249" s="32"/>
      <x:c r="D249" s="35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7"/>
      <x:c r="O249" s="32"/>
      <x:c r="P249" s="40"/>
      <x:c r="Q249" s="40"/>
      <x:c r="R249" s="41" t="str">
        <x:f>IF(OR(P249="",Q249=""),"",P249-Q249)</x:f>
      </x:c>
      <x:c r="S249" s="32"/>
      <x:c r="T249" s="32"/>
      <x:c r="U249" s="32"/>
      <x:c r="V249" s="32"/>
      <x:c r="W249" s="32"/>
      <x:c r="X249" s="32"/>
      <x:c r="Y249" s="43" t="str">
        <x:f>IF(OR(X249="",X249="Pending"),"",IF(X249="Rejected",0,IF(AND(U249="Ya",V249="Ya",W249="Ya"),1,"")))</x:f>
      </x:c>
      <x:c r="AA249" s="32"/>
      <x:c r="AB249" s="32"/>
      <x:c r="AC249" s="32"/>
      <x:c r="AD249" s="32"/>
      <x:c r="AE249" s="32"/>
      <x:c r="AF249" s="32"/>
      <x:c r="AG249" s="33" t="str">
        <x:f>IF(OR(AE249="",AF249=""),"",IF(AE249="Positif",IF(AF249="Positif","TP","FN"),IF(AF249="Positif","FP","TN")))</x:f>
      </x:c>
    </x:row>
    <x:row r="250">
      <x:c r="A250" s="32"/>
      <x:c r="B250" s="32"/>
      <x:c r="C250" s="32"/>
      <x:c r="D250" s="35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7"/>
      <x:c r="O250" s="32"/>
      <x:c r="P250" s="40"/>
      <x:c r="Q250" s="40"/>
      <x:c r="R250" s="41" t="str">
        <x:f>IF(OR(P250="",Q250=""),"",P250-Q250)</x:f>
      </x:c>
      <x:c r="S250" s="32"/>
      <x:c r="T250" s="32"/>
      <x:c r="U250" s="32"/>
      <x:c r="V250" s="32"/>
      <x:c r="W250" s="32"/>
      <x:c r="X250" s="32"/>
      <x:c r="Y250" s="43" t="str">
        <x:f>IF(OR(X250="",X250="Pending"),"",IF(X250="Rejected",0,IF(AND(U250="Ya",V250="Ya",W250="Ya"),1,"")))</x:f>
      </x:c>
      <x:c r="AA250" s="32"/>
      <x:c r="AB250" s="32"/>
      <x:c r="AC250" s="32"/>
      <x:c r="AD250" s="32"/>
      <x:c r="AE250" s="32"/>
      <x:c r="AF250" s="32"/>
      <x:c r="AG250" s="33" t="str">
        <x:f>IF(OR(AE250="",AF250=""),"",IF(AE250="Positif",IF(AF250="Positif","TP","FN"),IF(AF250="Positif","FP","TN")))</x:f>
      </x:c>
    </x:row>
    <x:row r="251">
      <x:c r="A251" s="32"/>
      <x:c r="B251" s="32"/>
      <x:c r="C251" s="32"/>
      <x:c r="D251" s="35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7"/>
      <x:c r="O251" s="32"/>
      <x:c r="P251" s="40"/>
      <x:c r="Q251" s="40"/>
      <x:c r="R251" s="41" t="str">
        <x:f>IF(OR(P251="",Q251=""),"",P251-Q251)</x:f>
      </x:c>
      <x:c r="S251" s="32"/>
      <x:c r="T251" s="32"/>
      <x:c r="U251" s="32"/>
      <x:c r="V251" s="32"/>
      <x:c r="W251" s="32"/>
      <x:c r="X251" s="32"/>
      <x:c r="Y251" s="43" t="str">
        <x:f>IF(OR(X251="",X251="Pending"),"",IF(X251="Rejected",0,IF(AND(U251="Ya",V251="Ya",W251="Ya"),1,"")))</x:f>
      </x:c>
      <x:c r="AA251" s="32"/>
      <x:c r="AB251" s="32"/>
      <x:c r="AC251" s="32"/>
      <x:c r="AD251" s="32"/>
      <x:c r="AE251" s="32"/>
      <x:c r="AF251" s="32"/>
      <x:c r="AG251" s="33" t="str">
        <x:f>IF(OR(AE251="",AF251=""),"",IF(AE251="Positif",IF(AF251="Positif","TP","FN"),IF(AF251="Positif","FP","TN")))</x:f>
      </x:c>
    </x:row>
    <x:row r="252">
      <x:c r="A252" s="32"/>
      <x:c r="B252" s="32"/>
      <x:c r="C252" s="32"/>
      <x:c r="D252" s="35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7"/>
      <x:c r="O252" s="32"/>
      <x:c r="P252" s="40"/>
      <x:c r="Q252" s="40"/>
      <x:c r="R252" s="41" t="str">
        <x:f>IF(OR(P252="",Q252=""),"",P252-Q252)</x:f>
      </x:c>
      <x:c r="S252" s="32"/>
      <x:c r="T252" s="32"/>
      <x:c r="U252" s="32"/>
      <x:c r="V252" s="32"/>
      <x:c r="W252" s="32"/>
      <x:c r="X252" s="32"/>
      <x:c r="Y252" s="43" t="str">
        <x:f>IF(OR(X252="",X252="Pending"),"",IF(X252="Rejected",0,IF(AND(U252="Ya",V252="Ya",W252="Ya"),1,"")))</x:f>
      </x:c>
      <x:c r="AA252" s="32"/>
      <x:c r="AB252" s="32"/>
      <x:c r="AC252" s="32"/>
      <x:c r="AD252" s="32"/>
      <x:c r="AE252" s="32"/>
      <x:c r="AF252" s="32"/>
      <x:c r="AG252" s="33" t="str">
        <x:f>IF(OR(AE252="",AF252=""),"",IF(AE252="Positif",IF(AF252="Positif","TP","FN"),IF(AF252="Positif","FP","TN")))</x:f>
      </x:c>
    </x:row>
    <x:row r="253">
      <x:c r="A253" s="32"/>
      <x:c r="B253" s="32"/>
      <x:c r="C253" s="32"/>
      <x:c r="D253" s="35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7"/>
      <x:c r="O253" s="32"/>
      <x:c r="P253" s="40"/>
      <x:c r="Q253" s="40"/>
      <x:c r="R253" s="41" t="str">
        <x:f>IF(OR(P253="",Q253=""),"",P253-Q253)</x:f>
      </x:c>
      <x:c r="S253" s="32"/>
      <x:c r="T253" s="32"/>
      <x:c r="U253" s="32"/>
      <x:c r="V253" s="32"/>
      <x:c r="W253" s="32"/>
      <x:c r="X253" s="32"/>
      <x:c r="Y253" s="43" t="str">
        <x:f>IF(OR(X253="",X253="Pending"),"",IF(X253="Rejected",0,IF(AND(U253="Ya",V253="Ya",W253="Ya"),1,"")))</x:f>
      </x:c>
      <x:c r="AA253" s="32"/>
      <x:c r="AB253" s="32"/>
      <x:c r="AC253" s="32"/>
      <x:c r="AD253" s="32"/>
      <x:c r="AE253" s="32"/>
      <x:c r="AF253" s="32"/>
      <x:c r="AG253" s="33" t="str">
        <x:f>IF(OR(AE253="",AF253=""),"",IF(AE253="Positif",IF(AF253="Positif","TP","FN"),IF(AF253="Positif","FP","TN")))</x:f>
      </x:c>
    </x:row>
    <x:row r="254">
      <x:c r="A254" s="32"/>
      <x:c r="B254" s="32"/>
      <x:c r="C254" s="32"/>
      <x:c r="D254" s="35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7"/>
      <x:c r="O254" s="32"/>
      <x:c r="P254" s="40"/>
      <x:c r="Q254" s="40"/>
      <x:c r="R254" s="41" t="str">
        <x:f>IF(OR(P254="",Q254=""),"",P254-Q254)</x:f>
      </x:c>
      <x:c r="S254" s="32"/>
      <x:c r="T254" s="32"/>
      <x:c r="U254" s="32"/>
      <x:c r="V254" s="32"/>
      <x:c r="W254" s="32"/>
      <x:c r="X254" s="32"/>
      <x:c r="Y254" s="43" t="str">
        <x:f>IF(OR(X254="",X254="Pending"),"",IF(X254="Rejected",0,IF(AND(U254="Ya",V254="Ya",W254="Ya"),1,"")))</x:f>
      </x:c>
      <x:c r="AA254" s="32"/>
      <x:c r="AB254" s="32"/>
      <x:c r="AC254" s="32"/>
      <x:c r="AD254" s="32"/>
      <x:c r="AE254" s="32"/>
      <x:c r="AF254" s="32"/>
      <x:c r="AG254" s="33" t="str">
        <x:f>IF(OR(AE254="",AF254=""),"",IF(AE254="Positif",IF(AF254="Positif","TP","FN"),IF(AF254="Positif","FP","TN")))</x:f>
      </x:c>
    </x:row>
    <x:row r="255">
      <x:c r="A255" s="32"/>
      <x:c r="B255" s="32"/>
      <x:c r="C255" s="32"/>
      <x:c r="D255" s="35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7"/>
      <x:c r="O255" s="32"/>
      <x:c r="P255" s="40"/>
      <x:c r="Q255" s="40"/>
      <x:c r="R255" s="41" t="str">
        <x:f>IF(OR(P255="",Q255=""),"",P255-Q255)</x:f>
      </x:c>
      <x:c r="S255" s="32"/>
      <x:c r="T255" s="32"/>
      <x:c r="U255" s="32"/>
      <x:c r="V255" s="32"/>
      <x:c r="W255" s="32"/>
      <x:c r="X255" s="32"/>
      <x:c r="Y255" s="43" t="str">
        <x:f>IF(OR(X255="",X255="Pending"),"",IF(X255="Rejected",0,IF(AND(U255="Ya",V255="Ya",W255="Ya"),1,"")))</x:f>
      </x:c>
      <x:c r="AA255" s="32"/>
      <x:c r="AB255" s="32"/>
      <x:c r="AC255" s="32"/>
      <x:c r="AD255" s="32"/>
      <x:c r="AE255" s="32"/>
      <x:c r="AF255" s="32"/>
      <x:c r="AG255" s="33" t="str">
        <x:f>IF(OR(AE255="",AF255=""),"",IF(AE255="Positif",IF(AF255="Positif","TP","FN"),IF(AF255="Positif","FP","TN")))</x:f>
      </x:c>
    </x:row>
    <x:row r="256">
      <x:c r="A256" s="32"/>
      <x:c r="B256" s="32"/>
      <x:c r="C256" s="32"/>
      <x:c r="D256" s="35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7"/>
      <x:c r="O256" s="32"/>
      <x:c r="P256" s="40"/>
      <x:c r="Q256" s="40"/>
      <x:c r="R256" s="41" t="str">
        <x:f>IF(OR(P256="",Q256=""),"",P256-Q256)</x:f>
      </x:c>
      <x:c r="S256" s="32"/>
      <x:c r="T256" s="32"/>
      <x:c r="U256" s="32"/>
      <x:c r="V256" s="32"/>
      <x:c r="W256" s="32"/>
      <x:c r="X256" s="32"/>
      <x:c r="Y256" s="43" t="str">
        <x:f>IF(OR(X256="",X256="Pending"),"",IF(X256="Rejected",0,IF(AND(U256="Ya",V256="Ya",W256="Ya"),1,"")))</x:f>
      </x:c>
      <x:c r="AA256" s="32"/>
      <x:c r="AB256" s="32"/>
      <x:c r="AC256" s="32"/>
      <x:c r="AD256" s="32"/>
      <x:c r="AE256" s="32"/>
      <x:c r="AF256" s="32"/>
      <x:c r="AG256" s="33" t="str">
        <x:f>IF(OR(AE256="",AF256=""),"",IF(AE256="Positif",IF(AF256="Positif","TP","FN"),IF(AF256="Positif","FP","TN")))</x:f>
      </x:c>
    </x:row>
    <x:row r="257">
      <x:c r="A257" s="32"/>
      <x:c r="B257" s="32"/>
      <x:c r="C257" s="32"/>
      <x:c r="D257" s="35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7"/>
      <x:c r="O257" s="32"/>
      <x:c r="P257" s="40"/>
      <x:c r="Q257" s="40"/>
      <x:c r="R257" s="41" t="str">
        <x:f>IF(OR(P257="",Q257=""),"",P257-Q257)</x:f>
      </x:c>
      <x:c r="S257" s="32"/>
      <x:c r="T257" s="32"/>
      <x:c r="U257" s="32"/>
      <x:c r="V257" s="32"/>
      <x:c r="W257" s="32"/>
      <x:c r="X257" s="32"/>
      <x:c r="Y257" s="43" t="str">
        <x:f>IF(OR(X257="",X257="Pending"),"",IF(X257="Rejected",0,IF(AND(U257="Ya",V257="Ya",W257="Ya"),1,"")))</x:f>
      </x:c>
      <x:c r="AA257" s="32"/>
      <x:c r="AB257" s="32"/>
      <x:c r="AC257" s="32"/>
      <x:c r="AD257" s="32"/>
      <x:c r="AE257" s="32"/>
      <x:c r="AF257" s="32"/>
      <x:c r="AG257" s="33" t="str">
        <x:f>IF(OR(AE257="",AF257=""),"",IF(AE257="Positif",IF(AF257="Positif","TP","FN"),IF(AF257="Positif","FP","TN")))</x:f>
      </x:c>
    </x:row>
    <x:row r="258">
      <x:c r="A258" s="32"/>
      <x:c r="B258" s="32"/>
      <x:c r="C258" s="32"/>
      <x:c r="D258" s="35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7"/>
      <x:c r="O258" s="32"/>
      <x:c r="P258" s="40"/>
      <x:c r="Q258" s="40"/>
      <x:c r="R258" s="41" t="str">
        <x:f>IF(OR(P258="",Q258=""),"",P258-Q258)</x:f>
      </x:c>
      <x:c r="S258" s="32"/>
      <x:c r="T258" s="32"/>
      <x:c r="U258" s="32"/>
      <x:c r="V258" s="32"/>
      <x:c r="W258" s="32"/>
      <x:c r="X258" s="32"/>
      <x:c r="Y258" s="43" t="str">
        <x:f>IF(OR(X258="",X258="Pending"),"",IF(X258="Rejected",0,IF(AND(U258="Ya",V258="Ya",W258="Ya"),1,"")))</x:f>
      </x:c>
      <x:c r="AA258" s="32"/>
      <x:c r="AB258" s="32"/>
      <x:c r="AC258" s="32"/>
      <x:c r="AD258" s="32"/>
      <x:c r="AE258" s="32"/>
      <x:c r="AF258" s="32"/>
      <x:c r="AG258" s="33" t="str">
        <x:f>IF(OR(AE258="",AF258=""),"",IF(AE258="Positif",IF(AF258="Positif","TP","FN"),IF(AF258="Positif","FP","TN")))</x:f>
      </x:c>
    </x:row>
    <x:row r="259">
      <x:c r="A259" s="32"/>
      <x:c r="B259" s="32"/>
      <x:c r="C259" s="32"/>
      <x:c r="D259" s="35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7"/>
      <x:c r="O259" s="32"/>
      <x:c r="P259" s="40"/>
      <x:c r="Q259" s="40"/>
      <x:c r="R259" s="41" t="str">
        <x:f>IF(OR(P259="",Q259=""),"",P259-Q259)</x:f>
      </x:c>
      <x:c r="S259" s="32"/>
      <x:c r="T259" s="32"/>
      <x:c r="U259" s="32"/>
      <x:c r="V259" s="32"/>
      <x:c r="W259" s="32"/>
      <x:c r="X259" s="32"/>
      <x:c r="Y259" s="43" t="str">
        <x:f>IF(OR(X259="",X259="Pending"),"",IF(X259="Rejected",0,IF(AND(U259="Ya",V259="Ya",W259="Ya"),1,"")))</x:f>
      </x:c>
      <x:c r="AA259" s="32"/>
      <x:c r="AB259" s="32"/>
      <x:c r="AC259" s="32"/>
      <x:c r="AD259" s="32"/>
      <x:c r="AE259" s="32"/>
      <x:c r="AF259" s="32"/>
      <x:c r="AG259" s="33" t="str">
        <x:f>IF(OR(AE259="",AF259=""),"",IF(AE259="Positif",IF(AF259="Positif","TP","FN"),IF(AF259="Positif","FP","TN")))</x:f>
      </x:c>
    </x:row>
    <x:row r="260">
      <x:c r="A260" s="32"/>
      <x:c r="B260" s="32"/>
      <x:c r="C260" s="32"/>
      <x:c r="D260" s="35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7"/>
      <x:c r="O260" s="32"/>
      <x:c r="P260" s="40"/>
      <x:c r="Q260" s="40"/>
      <x:c r="R260" s="41" t="str">
        <x:f>IF(OR(P260="",Q260=""),"",P260-Q260)</x:f>
      </x:c>
      <x:c r="S260" s="32"/>
      <x:c r="T260" s="32"/>
      <x:c r="U260" s="32"/>
      <x:c r="V260" s="32"/>
      <x:c r="W260" s="32"/>
      <x:c r="X260" s="32"/>
      <x:c r="Y260" s="43" t="str">
        <x:f>IF(OR(X260="",X260="Pending"),"",IF(X260="Rejected",0,IF(AND(U260="Ya",V260="Ya",W260="Ya"),1,"")))</x:f>
      </x:c>
      <x:c r="AA260" s="32"/>
      <x:c r="AB260" s="32"/>
      <x:c r="AC260" s="32"/>
      <x:c r="AD260" s="32"/>
      <x:c r="AE260" s="32"/>
      <x:c r="AF260" s="32"/>
      <x:c r="AG260" s="33" t="str">
        <x:f>IF(OR(AE260="",AF260=""),"",IF(AE260="Positif",IF(AF260="Positif","TP","FN"),IF(AF260="Positif","FP","TN")))</x:f>
      </x:c>
    </x:row>
    <x:row r="261">
      <x:c r="A261" s="32"/>
      <x:c r="B261" s="32"/>
      <x:c r="C261" s="32"/>
      <x:c r="D261" s="35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7"/>
      <x:c r="O261" s="32"/>
      <x:c r="P261" s="40"/>
      <x:c r="Q261" s="40"/>
      <x:c r="R261" s="41" t="str">
        <x:f>IF(OR(P261="",Q261=""),"",P261-Q261)</x:f>
      </x:c>
      <x:c r="S261" s="32"/>
      <x:c r="T261" s="32"/>
      <x:c r="U261" s="32"/>
      <x:c r="V261" s="32"/>
      <x:c r="W261" s="32"/>
      <x:c r="X261" s="32"/>
      <x:c r="Y261" s="43" t="str">
        <x:f>IF(OR(X261="",X261="Pending"),"",IF(X261="Rejected",0,IF(AND(U261="Ya",V261="Ya",W261="Ya"),1,"")))</x:f>
      </x:c>
      <x:c r="AA261" s="32"/>
      <x:c r="AB261" s="32"/>
      <x:c r="AC261" s="32"/>
      <x:c r="AD261" s="32"/>
      <x:c r="AE261" s="32"/>
      <x:c r="AF261" s="32"/>
      <x:c r="AG261" s="33" t="str">
        <x:f>IF(OR(AE261="",AF261=""),"",IF(AE261="Positif",IF(AF261="Positif","TP","FN"),IF(AF261="Positif","FP","TN")))</x:f>
      </x:c>
    </x:row>
    <x:row r="262">
      <x:c r="A262" s="32"/>
      <x:c r="B262" s="32"/>
      <x:c r="C262" s="32"/>
      <x:c r="D262" s="35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7"/>
      <x:c r="O262" s="32"/>
      <x:c r="P262" s="40"/>
      <x:c r="Q262" s="40"/>
      <x:c r="R262" s="41" t="str">
        <x:f>IF(OR(P262="",Q262=""),"",P262-Q262)</x:f>
      </x:c>
      <x:c r="S262" s="32"/>
      <x:c r="T262" s="32"/>
      <x:c r="U262" s="32"/>
      <x:c r="V262" s="32"/>
      <x:c r="W262" s="32"/>
      <x:c r="X262" s="32"/>
      <x:c r="Y262" s="43" t="str">
        <x:f>IF(OR(X262="",X262="Pending"),"",IF(X262="Rejected",0,IF(AND(U262="Ya",V262="Ya",W262="Ya"),1,"")))</x:f>
      </x:c>
      <x:c r="AA262" s="32"/>
      <x:c r="AB262" s="32"/>
      <x:c r="AC262" s="32"/>
      <x:c r="AD262" s="32"/>
      <x:c r="AE262" s="32"/>
      <x:c r="AF262" s="32"/>
      <x:c r="AG262" s="33" t="str">
        <x:f>IF(OR(AE262="",AF262=""),"",IF(AE262="Positif",IF(AF262="Positif","TP","FN"),IF(AF262="Positif","FP","TN")))</x:f>
      </x:c>
    </x:row>
    <x:row r="263">
      <x:c r="A263" s="32"/>
      <x:c r="B263" s="32"/>
      <x:c r="C263" s="32"/>
      <x:c r="D263" s="35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7"/>
      <x:c r="O263" s="32"/>
      <x:c r="P263" s="40"/>
      <x:c r="Q263" s="40"/>
      <x:c r="R263" s="41" t="str">
        <x:f>IF(OR(P263="",Q263=""),"",P263-Q263)</x:f>
      </x:c>
      <x:c r="S263" s="32"/>
      <x:c r="T263" s="32"/>
      <x:c r="U263" s="32"/>
      <x:c r="V263" s="32"/>
      <x:c r="W263" s="32"/>
      <x:c r="X263" s="32"/>
      <x:c r="Y263" s="43" t="str">
        <x:f>IF(OR(X263="",X263="Pending"),"",IF(X263="Rejected",0,IF(AND(U263="Ya",V263="Ya",W263="Ya"),1,"")))</x:f>
      </x:c>
      <x:c r="AA263" s="32"/>
      <x:c r="AB263" s="32"/>
      <x:c r="AC263" s="32"/>
      <x:c r="AD263" s="32"/>
      <x:c r="AE263" s="32"/>
      <x:c r="AF263" s="32"/>
      <x:c r="AG263" s="33" t="str">
        <x:f>IF(OR(AE263="",AF263=""),"",IF(AE263="Positif",IF(AF263="Positif","TP","FN"),IF(AF263="Positif","FP","TN")))</x:f>
      </x:c>
    </x:row>
    <x:row r="264">
      <x:c r="A264" s="32"/>
      <x:c r="B264" s="32"/>
      <x:c r="C264" s="32"/>
      <x:c r="D264" s="35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7"/>
      <x:c r="O264" s="32"/>
      <x:c r="P264" s="40"/>
      <x:c r="Q264" s="40"/>
      <x:c r="R264" s="41" t="str">
        <x:f>IF(OR(P264="",Q264=""),"",P264-Q264)</x:f>
      </x:c>
      <x:c r="S264" s="32"/>
      <x:c r="T264" s="32"/>
      <x:c r="U264" s="32"/>
      <x:c r="V264" s="32"/>
      <x:c r="W264" s="32"/>
      <x:c r="X264" s="32"/>
      <x:c r="Y264" s="43" t="str">
        <x:f>IF(OR(X264="",X264="Pending"),"",IF(X264="Rejected",0,IF(AND(U264="Ya",V264="Ya",W264="Ya"),1,"")))</x:f>
      </x:c>
      <x:c r="AA264" s="32"/>
      <x:c r="AB264" s="32"/>
      <x:c r="AC264" s="32"/>
      <x:c r="AD264" s="32"/>
      <x:c r="AE264" s="32"/>
      <x:c r="AF264" s="32"/>
      <x:c r="AG264" s="33" t="str">
        <x:f>IF(OR(AE264="",AF264=""),"",IF(AE264="Positif",IF(AF264="Positif","TP","FN"),IF(AF264="Positif","FP","TN")))</x:f>
      </x:c>
    </x:row>
    <x:row r="265">
      <x:c r="A265" s="32"/>
      <x:c r="B265" s="32"/>
      <x:c r="C265" s="32"/>
      <x:c r="D265" s="35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7"/>
      <x:c r="O265" s="32"/>
      <x:c r="P265" s="40"/>
      <x:c r="Q265" s="40"/>
      <x:c r="R265" s="41" t="str">
        <x:f>IF(OR(P265="",Q265=""),"",P265-Q265)</x:f>
      </x:c>
      <x:c r="S265" s="32"/>
      <x:c r="T265" s="32"/>
      <x:c r="U265" s="32"/>
      <x:c r="V265" s="32"/>
      <x:c r="W265" s="32"/>
      <x:c r="X265" s="32"/>
      <x:c r="Y265" s="43" t="str">
        <x:f>IF(OR(X265="",X265="Pending"),"",IF(X265="Rejected",0,IF(AND(U265="Ya",V265="Ya",W265="Ya"),1,"")))</x:f>
      </x:c>
      <x:c r="AA265" s="32"/>
      <x:c r="AB265" s="32"/>
      <x:c r="AC265" s="32"/>
      <x:c r="AD265" s="32"/>
      <x:c r="AE265" s="32"/>
      <x:c r="AF265" s="32"/>
      <x:c r="AG265" s="33" t="str">
        <x:f>IF(OR(AE265="",AF265=""),"",IF(AE265="Positif",IF(AF265="Positif","TP","FN"),IF(AF265="Positif","FP","TN")))</x:f>
      </x:c>
    </x:row>
    <x:row r="266">
      <x:c r="A266" s="32"/>
      <x:c r="B266" s="32"/>
      <x:c r="C266" s="32"/>
      <x:c r="D266" s="35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7"/>
      <x:c r="O266" s="32"/>
      <x:c r="P266" s="40"/>
      <x:c r="Q266" s="40"/>
      <x:c r="R266" s="41" t="str">
        <x:f>IF(OR(P266="",Q266=""),"",P266-Q266)</x:f>
      </x:c>
      <x:c r="S266" s="32"/>
      <x:c r="T266" s="32"/>
      <x:c r="U266" s="32"/>
      <x:c r="V266" s="32"/>
      <x:c r="W266" s="32"/>
      <x:c r="X266" s="32"/>
      <x:c r="Y266" s="43" t="str">
        <x:f>IF(OR(X266="",X266="Pending"),"",IF(X266="Rejected",0,IF(AND(U266="Ya",V266="Ya",W266="Ya"),1,"")))</x:f>
      </x:c>
      <x:c r="AA266" s="32"/>
      <x:c r="AB266" s="32"/>
      <x:c r="AC266" s="32"/>
      <x:c r="AD266" s="32"/>
      <x:c r="AE266" s="32"/>
      <x:c r="AF266" s="32"/>
      <x:c r="AG266" s="33" t="str">
        <x:f>IF(OR(AE266="",AF266=""),"",IF(AE266="Positif",IF(AF266="Positif","TP","FN"),IF(AF266="Positif","FP","TN")))</x:f>
      </x:c>
    </x:row>
    <x:row r="267">
      <x:c r="A267" s="32"/>
      <x:c r="B267" s="32"/>
      <x:c r="C267" s="32"/>
      <x:c r="D267" s="35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7"/>
      <x:c r="O267" s="32"/>
      <x:c r="P267" s="40"/>
      <x:c r="Q267" s="40"/>
      <x:c r="R267" s="41" t="str">
        <x:f>IF(OR(P267="",Q267=""),"",P267-Q267)</x:f>
      </x:c>
      <x:c r="S267" s="32"/>
      <x:c r="T267" s="32"/>
      <x:c r="U267" s="32"/>
      <x:c r="V267" s="32"/>
      <x:c r="W267" s="32"/>
      <x:c r="X267" s="32"/>
      <x:c r="Y267" s="43" t="str">
        <x:f>IF(OR(X267="",X267="Pending"),"",IF(X267="Rejected",0,IF(AND(U267="Ya",V267="Ya",W267="Ya"),1,"")))</x:f>
      </x:c>
      <x:c r="AA267" s="32"/>
      <x:c r="AB267" s="32"/>
      <x:c r="AC267" s="32"/>
      <x:c r="AD267" s="32"/>
      <x:c r="AE267" s="32"/>
      <x:c r="AF267" s="32"/>
      <x:c r="AG267" s="33" t="str">
        <x:f>IF(OR(AE267="",AF267=""),"",IF(AE267="Positif",IF(AF267="Positif","TP","FN"),IF(AF267="Positif","FP","TN")))</x:f>
      </x:c>
    </x:row>
    <x:row r="268">
      <x:c r="A268" s="32"/>
      <x:c r="B268" s="32"/>
      <x:c r="C268" s="32"/>
      <x:c r="D268" s="35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7"/>
      <x:c r="O268" s="32"/>
      <x:c r="P268" s="40"/>
      <x:c r="Q268" s="40"/>
      <x:c r="R268" s="41" t="str">
        <x:f>IF(OR(P268="",Q268=""),"",P268-Q268)</x:f>
      </x:c>
      <x:c r="S268" s="32"/>
      <x:c r="T268" s="32"/>
      <x:c r="U268" s="32"/>
      <x:c r="V268" s="32"/>
      <x:c r="W268" s="32"/>
      <x:c r="X268" s="32"/>
      <x:c r="Y268" s="43" t="str">
        <x:f>IF(OR(X268="",X268="Pending"),"",IF(X268="Rejected",0,IF(AND(U268="Ya",V268="Ya",W268="Ya"),1,"")))</x:f>
      </x:c>
      <x:c r="AA268" s="32"/>
      <x:c r="AB268" s="32"/>
      <x:c r="AC268" s="32"/>
      <x:c r="AD268" s="32"/>
      <x:c r="AE268" s="32"/>
      <x:c r="AF268" s="32"/>
      <x:c r="AG268" s="33" t="str">
        <x:f>IF(OR(AE268="",AF268=""),"",IF(AE268="Positif",IF(AF268="Positif","TP","FN"),IF(AF268="Positif","FP","TN")))</x:f>
      </x:c>
    </x:row>
    <x:row r="269">
      <x:c r="A269" s="32"/>
      <x:c r="B269" s="32"/>
      <x:c r="C269" s="32"/>
      <x:c r="D269" s="35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7"/>
      <x:c r="O269" s="32"/>
      <x:c r="P269" s="40"/>
      <x:c r="Q269" s="40"/>
      <x:c r="R269" s="41" t="str">
        <x:f>IF(OR(P269="",Q269=""),"",P269-Q269)</x:f>
      </x:c>
      <x:c r="S269" s="32"/>
      <x:c r="T269" s="32"/>
      <x:c r="U269" s="32"/>
      <x:c r="V269" s="32"/>
      <x:c r="W269" s="32"/>
      <x:c r="X269" s="32"/>
      <x:c r="Y269" s="43" t="str">
        <x:f>IF(OR(X269="",X269="Pending"),"",IF(X269="Rejected",0,IF(AND(U269="Ya",V269="Ya",W269="Ya"),1,"")))</x:f>
      </x:c>
      <x:c r="AA269" s="32"/>
      <x:c r="AB269" s="32"/>
      <x:c r="AC269" s="32"/>
      <x:c r="AD269" s="32"/>
      <x:c r="AE269" s="32"/>
      <x:c r="AF269" s="32"/>
      <x:c r="AG269" s="33" t="str">
        <x:f>IF(OR(AE269="",AF269=""),"",IF(AE269="Positif",IF(AF269="Positif","TP","FN"),IF(AF269="Positif","FP","TN")))</x:f>
      </x:c>
    </x:row>
    <x:row r="270">
      <x:c r="A270" s="32"/>
      <x:c r="B270" s="32"/>
      <x:c r="C270" s="32"/>
      <x:c r="D270" s="35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7"/>
      <x:c r="O270" s="32"/>
      <x:c r="P270" s="40"/>
      <x:c r="Q270" s="40"/>
      <x:c r="R270" s="41" t="str">
        <x:f>IF(OR(P270="",Q270=""),"",P270-Q270)</x:f>
      </x:c>
      <x:c r="S270" s="32"/>
      <x:c r="T270" s="32"/>
      <x:c r="U270" s="32"/>
      <x:c r="V270" s="32"/>
      <x:c r="W270" s="32"/>
      <x:c r="X270" s="32"/>
      <x:c r="Y270" s="43" t="str">
        <x:f>IF(OR(X270="",X270="Pending"),"",IF(X270="Rejected",0,IF(AND(U270="Ya",V270="Ya",W270="Ya"),1,"")))</x:f>
      </x:c>
      <x:c r="AA270" s="32"/>
      <x:c r="AB270" s="32"/>
      <x:c r="AC270" s="32"/>
      <x:c r="AD270" s="32"/>
      <x:c r="AE270" s="32"/>
      <x:c r="AF270" s="32"/>
      <x:c r="AG270" s="33" t="str">
        <x:f>IF(OR(AE270="",AF270=""),"",IF(AE270="Positif",IF(AF270="Positif","TP","FN"),IF(AF270="Positif","FP","TN")))</x:f>
      </x:c>
    </x:row>
    <x:row r="271">
      <x:c r="A271" s="32"/>
      <x:c r="B271" s="32"/>
      <x:c r="C271" s="32"/>
      <x:c r="D271" s="35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7"/>
      <x:c r="O271" s="32"/>
      <x:c r="P271" s="40"/>
      <x:c r="Q271" s="40"/>
      <x:c r="R271" s="41" t="str">
        <x:f>IF(OR(P271="",Q271=""),"",P271-Q271)</x:f>
      </x:c>
      <x:c r="S271" s="32"/>
      <x:c r="T271" s="32"/>
      <x:c r="U271" s="32"/>
      <x:c r="V271" s="32"/>
      <x:c r="W271" s="32"/>
      <x:c r="X271" s="32"/>
      <x:c r="Y271" s="43" t="str">
        <x:f>IF(OR(X271="",X271="Pending"),"",IF(X271="Rejected",0,IF(AND(U271="Ya",V271="Ya",W271="Ya"),1,"")))</x:f>
      </x:c>
      <x:c r="AA271" s="32"/>
      <x:c r="AB271" s="32"/>
      <x:c r="AC271" s="32"/>
      <x:c r="AD271" s="32"/>
      <x:c r="AE271" s="32"/>
      <x:c r="AF271" s="32"/>
      <x:c r="AG271" s="33" t="str">
        <x:f>IF(OR(AE271="",AF271=""),"",IF(AE271="Positif",IF(AF271="Positif","TP","FN"),IF(AF271="Positif","FP","TN")))</x:f>
      </x:c>
    </x:row>
    <x:row r="272">
      <x:c r="A272" s="32"/>
      <x:c r="B272" s="32"/>
      <x:c r="C272" s="32"/>
      <x:c r="D272" s="35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7"/>
      <x:c r="O272" s="32"/>
      <x:c r="P272" s="40"/>
      <x:c r="Q272" s="40"/>
      <x:c r="R272" s="41" t="str">
        <x:f>IF(OR(P272="",Q272=""),"",P272-Q272)</x:f>
      </x:c>
      <x:c r="S272" s="32"/>
      <x:c r="T272" s="32"/>
      <x:c r="U272" s="32"/>
      <x:c r="V272" s="32"/>
      <x:c r="W272" s="32"/>
      <x:c r="X272" s="32"/>
      <x:c r="Y272" s="43" t="str">
        <x:f>IF(OR(X272="",X272="Pending"),"",IF(X272="Rejected",0,IF(AND(U272="Ya",V272="Ya",W272="Ya"),1,"")))</x:f>
      </x:c>
      <x:c r="AA272" s="32"/>
      <x:c r="AB272" s="32"/>
      <x:c r="AC272" s="32"/>
      <x:c r="AD272" s="32"/>
      <x:c r="AE272" s="32"/>
      <x:c r="AF272" s="32"/>
      <x:c r="AG272" s="33" t="str">
        <x:f>IF(OR(AE272="",AF272=""),"",IF(AE272="Positif",IF(AF272="Positif","TP","FN"),IF(AF272="Positif","FP","TN")))</x:f>
      </x:c>
    </x:row>
    <x:row r="273">
      <x:c r="A273" s="32"/>
      <x:c r="B273" s="32"/>
      <x:c r="C273" s="32"/>
      <x:c r="D273" s="35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7"/>
      <x:c r="O273" s="32"/>
      <x:c r="P273" s="40"/>
      <x:c r="Q273" s="40"/>
      <x:c r="R273" s="41" t="str">
        <x:f>IF(OR(P273="",Q273=""),"",P273-Q273)</x:f>
      </x:c>
      <x:c r="S273" s="32"/>
      <x:c r="T273" s="32"/>
      <x:c r="U273" s="32"/>
      <x:c r="V273" s="32"/>
      <x:c r="W273" s="32"/>
      <x:c r="X273" s="32"/>
      <x:c r="Y273" s="43" t="str">
        <x:f>IF(OR(X273="",X273="Pending"),"",IF(X273="Rejected",0,IF(AND(U273="Ya",V273="Ya",W273="Ya"),1,"")))</x:f>
      </x:c>
      <x:c r="AA273" s="32"/>
      <x:c r="AB273" s="32"/>
      <x:c r="AC273" s="32"/>
      <x:c r="AD273" s="32"/>
      <x:c r="AE273" s="32"/>
      <x:c r="AF273" s="32"/>
      <x:c r="AG273" s="33" t="str">
        <x:f>IF(OR(AE273="",AF273=""),"",IF(AE273="Positif",IF(AF273="Positif","TP","FN"),IF(AF273="Positif","FP","TN")))</x:f>
      </x:c>
    </x:row>
    <x:row r="274">
      <x:c r="A274" s="32"/>
      <x:c r="B274" s="32"/>
      <x:c r="C274" s="32"/>
      <x:c r="D274" s="35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7"/>
      <x:c r="O274" s="32"/>
      <x:c r="P274" s="40"/>
      <x:c r="Q274" s="40"/>
      <x:c r="R274" s="41" t="str">
        <x:f>IF(OR(P274="",Q274=""),"",P274-Q274)</x:f>
      </x:c>
      <x:c r="S274" s="32"/>
      <x:c r="T274" s="32"/>
      <x:c r="U274" s="32"/>
      <x:c r="V274" s="32"/>
      <x:c r="W274" s="32"/>
      <x:c r="X274" s="32"/>
      <x:c r="Y274" s="43" t="str">
        <x:f>IF(OR(X274="",X274="Pending"),"",IF(X274="Rejected",0,IF(AND(U274="Ya",V274="Ya",W274="Ya"),1,"")))</x:f>
      </x:c>
      <x:c r="AA274" s="32"/>
      <x:c r="AB274" s="32"/>
      <x:c r="AC274" s="32"/>
      <x:c r="AD274" s="32"/>
      <x:c r="AE274" s="32"/>
      <x:c r="AF274" s="32"/>
      <x:c r="AG274" s="33" t="str">
        <x:f>IF(OR(AE274="",AF274=""),"",IF(AE274="Positif",IF(AF274="Positif","TP","FN"),IF(AF274="Positif","FP","TN")))</x:f>
      </x:c>
    </x:row>
    <x:row r="275">
      <x:c r="A275" s="32"/>
      <x:c r="B275" s="32"/>
      <x:c r="C275" s="32"/>
      <x:c r="D275" s="35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7"/>
      <x:c r="O275" s="32"/>
      <x:c r="P275" s="40"/>
      <x:c r="Q275" s="40"/>
      <x:c r="R275" s="41" t="str">
        <x:f>IF(OR(P275="",Q275=""),"",P275-Q275)</x:f>
      </x:c>
      <x:c r="S275" s="32"/>
      <x:c r="T275" s="32"/>
      <x:c r="U275" s="32"/>
      <x:c r="V275" s="32"/>
      <x:c r="W275" s="32"/>
      <x:c r="X275" s="32"/>
      <x:c r="Y275" s="43" t="str">
        <x:f>IF(OR(X275="",X275="Pending"),"",IF(X275="Rejected",0,IF(AND(U275="Ya",V275="Ya",W275="Ya"),1,"")))</x:f>
      </x:c>
      <x:c r="AA275" s="32"/>
      <x:c r="AB275" s="32"/>
      <x:c r="AC275" s="32"/>
      <x:c r="AD275" s="32"/>
      <x:c r="AE275" s="32"/>
      <x:c r="AF275" s="32"/>
      <x:c r="AG275" s="33" t="str">
        <x:f>IF(OR(AE275="",AF275=""),"",IF(AE275="Positif",IF(AF275="Positif","TP","FN"),IF(AF275="Positif","FP","TN")))</x:f>
      </x:c>
    </x:row>
    <x:row r="276">
      <x:c r="A276" s="32"/>
      <x:c r="B276" s="32"/>
      <x:c r="C276" s="32"/>
      <x:c r="D276" s="35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7"/>
      <x:c r="O276" s="32"/>
      <x:c r="P276" s="40"/>
      <x:c r="Q276" s="40"/>
      <x:c r="R276" s="41" t="str">
        <x:f>IF(OR(P276="",Q276=""),"",P276-Q276)</x:f>
      </x:c>
      <x:c r="S276" s="32"/>
      <x:c r="T276" s="32"/>
      <x:c r="U276" s="32"/>
      <x:c r="V276" s="32"/>
      <x:c r="W276" s="32"/>
      <x:c r="X276" s="32"/>
      <x:c r="Y276" s="43" t="str">
        <x:f>IF(OR(X276="",X276="Pending"),"",IF(X276="Rejected",0,IF(AND(U276="Ya",V276="Ya",W276="Ya"),1,"")))</x:f>
      </x:c>
      <x:c r="AA276" s="32"/>
      <x:c r="AB276" s="32"/>
      <x:c r="AC276" s="32"/>
      <x:c r="AD276" s="32"/>
      <x:c r="AE276" s="32"/>
      <x:c r="AF276" s="32"/>
      <x:c r="AG276" s="33" t="str">
        <x:f>IF(OR(AE276="",AF276=""),"",IF(AE276="Positif",IF(AF276="Positif","TP","FN"),IF(AF276="Positif","FP","TN")))</x:f>
      </x:c>
    </x:row>
    <x:row r="277">
      <x:c r="A277" s="32"/>
      <x:c r="B277" s="32"/>
      <x:c r="C277" s="32"/>
      <x:c r="D277" s="35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7"/>
      <x:c r="O277" s="32"/>
      <x:c r="P277" s="40"/>
      <x:c r="Q277" s="40"/>
      <x:c r="R277" s="41" t="str">
        <x:f>IF(OR(P277="",Q277=""),"",P277-Q277)</x:f>
      </x:c>
      <x:c r="S277" s="32"/>
      <x:c r="T277" s="32"/>
      <x:c r="U277" s="32"/>
      <x:c r="V277" s="32"/>
      <x:c r="W277" s="32"/>
      <x:c r="X277" s="32"/>
      <x:c r="Y277" s="43" t="str">
        <x:f>IF(OR(X277="",X277="Pending"),"",IF(X277="Rejected",0,IF(AND(U277="Ya",V277="Ya",W277="Ya"),1,"")))</x:f>
      </x:c>
      <x:c r="AA277" s="32"/>
      <x:c r="AB277" s="32"/>
      <x:c r="AC277" s="32"/>
      <x:c r="AD277" s="32"/>
      <x:c r="AE277" s="32"/>
      <x:c r="AF277" s="32"/>
      <x:c r="AG277" s="33" t="str">
        <x:f>IF(OR(AE277="",AF277=""),"",IF(AE277="Positif",IF(AF277="Positif","TP","FN"),IF(AF277="Positif","FP","TN")))</x:f>
      </x:c>
    </x:row>
    <x:row r="278">
      <x:c r="A278" s="32"/>
      <x:c r="B278" s="32"/>
      <x:c r="C278" s="32"/>
      <x:c r="D278" s="35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7"/>
      <x:c r="O278" s="32"/>
      <x:c r="P278" s="40"/>
      <x:c r="Q278" s="40"/>
      <x:c r="R278" s="41" t="str">
        <x:f>IF(OR(P278="",Q278=""),"",P278-Q278)</x:f>
      </x:c>
      <x:c r="S278" s="32"/>
      <x:c r="T278" s="32"/>
      <x:c r="U278" s="32"/>
      <x:c r="V278" s="32"/>
      <x:c r="W278" s="32"/>
      <x:c r="X278" s="32"/>
      <x:c r="Y278" s="43" t="str">
        <x:f>IF(OR(X278="",X278="Pending"),"",IF(X278="Rejected",0,IF(AND(U278="Ya",V278="Ya",W278="Ya"),1,"")))</x:f>
      </x:c>
      <x:c r="AA278" s="32"/>
      <x:c r="AB278" s="32"/>
      <x:c r="AC278" s="32"/>
      <x:c r="AD278" s="32"/>
      <x:c r="AE278" s="32"/>
      <x:c r="AF278" s="32"/>
      <x:c r="AG278" s="33" t="str">
        <x:f>IF(OR(AE278="",AF278=""),"",IF(AE278="Positif",IF(AF278="Positif","TP","FN"),IF(AF278="Positif","FP","TN")))</x:f>
      </x:c>
    </x:row>
    <x:row r="279">
      <x:c r="A279" s="32"/>
      <x:c r="B279" s="32"/>
      <x:c r="C279" s="32"/>
      <x:c r="D279" s="35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7"/>
      <x:c r="O279" s="32"/>
      <x:c r="P279" s="40"/>
      <x:c r="Q279" s="40"/>
      <x:c r="R279" s="41" t="str">
        <x:f>IF(OR(P279="",Q279=""),"",P279-Q279)</x:f>
      </x:c>
      <x:c r="S279" s="32"/>
      <x:c r="T279" s="32"/>
      <x:c r="U279" s="32"/>
      <x:c r="V279" s="32"/>
      <x:c r="W279" s="32"/>
      <x:c r="X279" s="32"/>
      <x:c r="Y279" s="43" t="str">
        <x:f>IF(OR(X279="",X279="Pending"),"",IF(X279="Rejected",0,IF(AND(U279="Ya",V279="Ya",W279="Ya"),1,"")))</x:f>
      </x:c>
      <x:c r="AA279" s="32"/>
      <x:c r="AB279" s="32"/>
      <x:c r="AC279" s="32"/>
      <x:c r="AD279" s="32"/>
      <x:c r="AE279" s="32"/>
      <x:c r="AF279" s="32"/>
      <x:c r="AG279" s="33" t="str">
        <x:f>IF(OR(AE279="",AF279=""),"",IF(AE279="Positif",IF(AF279="Positif","TP","FN"),IF(AF279="Positif","FP","TN")))</x:f>
      </x:c>
    </x:row>
    <x:row r="280">
      <x:c r="A280" s="32"/>
      <x:c r="B280" s="32"/>
      <x:c r="C280" s="32"/>
      <x:c r="D280" s="35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7"/>
      <x:c r="O280" s="32"/>
      <x:c r="P280" s="40"/>
      <x:c r="Q280" s="40"/>
      <x:c r="R280" s="41" t="str">
        <x:f>IF(OR(P280="",Q280=""),"",P280-Q280)</x:f>
      </x:c>
      <x:c r="S280" s="32"/>
      <x:c r="T280" s="32"/>
      <x:c r="U280" s="32"/>
      <x:c r="V280" s="32"/>
      <x:c r="W280" s="32"/>
      <x:c r="X280" s="32"/>
      <x:c r="Y280" s="43" t="str">
        <x:f>IF(OR(X280="",X280="Pending"),"",IF(X280="Rejected",0,IF(AND(U280="Ya",V280="Ya",W280="Ya"),1,"")))</x:f>
      </x:c>
      <x:c r="AA280" s="32"/>
      <x:c r="AB280" s="32"/>
      <x:c r="AC280" s="32"/>
      <x:c r="AD280" s="32"/>
      <x:c r="AE280" s="32"/>
      <x:c r="AF280" s="32"/>
      <x:c r="AG280" s="33" t="str">
        <x:f>IF(OR(AE280="",AF280=""),"",IF(AE280="Positif",IF(AF280="Positif","TP","FN"),IF(AF280="Positif","FP","TN")))</x:f>
      </x:c>
    </x:row>
    <x:row r="281">
      <x:c r="A281" s="32"/>
      <x:c r="B281" s="32"/>
      <x:c r="C281" s="32"/>
      <x:c r="D281" s="35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7"/>
      <x:c r="O281" s="32"/>
      <x:c r="P281" s="40"/>
      <x:c r="Q281" s="40"/>
      <x:c r="R281" s="41" t="str">
        <x:f>IF(OR(P281="",Q281=""),"",P281-Q281)</x:f>
      </x:c>
      <x:c r="S281" s="32"/>
      <x:c r="T281" s="32"/>
      <x:c r="U281" s="32"/>
      <x:c r="V281" s="32"/>
      <x:c r="W281" s="32"/>
      <x:c r="X281" s="32"/>
      <x:c r="Y281" s="43" t="str">
        <x:f>IF(OR(X281="",X281="Pending"),"",IF(X281="Rejected",0,IF(AND(U281="Ya",V281="Ya",W281="Ya"),1,"")))</x:f>
      </x:c>
      <x:c r="AA281" s="32"/>
      <x:c r="AB281" s="32"/>
      <x:c r="AC281" s="32"/>
      <x:c r="AD281" s="32"/>
      <x:c r="AE281" s="32"/>
      <x:c r="AF281" s="32"/>
      <x:c r="AG281" s="33" t="str">
        <x:f>IF(OR(AE281="",AF281=""),"",IF(AE281="Positif",IF(AF281="Positif","TP","FN"),IF(AF281="Positif","FP","TN")))</x:f>
      </x:c>
    </x:row>
    <x:row r="282">
      <x:c r="A282" s="32"/>
      <x:c r="B282" s="32"/>
      <x:c r="C282" s="32"/>
      <x:c r="D282" s="35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7"/>
      <x:c r="O282" s="32"/>
      <x:c r="P282" s="40"/>
      <x:c r="Q282" s="40"/>
      <x:c r="R282" s="41" t="str">
        <x:f>IF(OR(P282="",Q282=""),"",P282-Q282)</x:f>
      </x:c>
      <x:c r="S282" s="32"/>
      <x:c r="T282" s="32"/>
      <x:c r="U282" s="32"/>
      <x:c r="V282" s="32"/>
      <x:c r="W282" s="32"/>
      <x:c r="X282" s="32"/>
      <x:c r="Y282" s="43" t="str">
        <x:f>IF(OR(X282="",X282="Pending"),"",IF(X282="Rejected",0,IF(AND(U282="Ya",V282="Ya",W282="Ya"),1,"")))</x:f>
      </x:c>
      <x:c r="AA282" s="32"/>
      <x:c r="AB282" s="32"/>
      <x:c r="AC282" s="32"/>
      <x:c r="AD282" s="32"/>
      <x:c r="AE282" s="32"/>
      <x:c r="AF282" s="32"/>
      <x:c r="AG282" s="33" t="str">
        <x:f>IF(OR(AE282="",AF282=""),"",IF(AE282="Positif",IF(AF282="Positif","TP","FN"),IF(AF282="Positif","FP","TN")))</x:f>
      </x:c>
    </x:row>
    <x:row r="283">
      <x:c r="A283" s="32"/>
      <x:c r="B283" s="32"/>
      <x:c r="C283" s="32"/>
      <x:c r="D283" s="35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7"/>
      <x:c r="O283" s="32"/>
      <x:c r="P283" s="40"/>
      <x:c r="Q283" s="40"/>
      <x:c r="R283" s="41" t="str">
        <x:f>IF(OR(P283="",Q283=""),"",P283-Q283)</x:f>
      </x:c>
      <x:c r="S283" s="32"/>
      <x:c r="T283" s="32"/>
      <x:c r="U283" s="32"/>
      <x:c r="V283" s="32"/>
      <x:c r="W283" s="32"/>
      <x:c r="X283" s="32"/>
      <x:c r="Y283" s="43" t="str">
        <x:f>IF(OR(X283="",X283="Pending"),"",IF(X283="Rejected",0,IF(AND(U283="Ya",V283="Ya",W283="Ya"),1,"")))</x:f>
      </x:c>
      <x:c r="AA283" s="32"/>
      <x:c r="AB283" s="32"/>
      <x:c r="AC283" s="32"/>
      <x:c r="AD283" s="32"/>
      <x:c r="AE283" s="32"/>
      <x:c r="AF283" s="32"/>
      <x:c r="AG283" s="33" t="str">
        <x:f>IF(OR(AE283="",AF283=""),"",IF(AE283="Positif",IF(AF283="Positif","TP","FN"),IF(AF283="Positif","FP","TN")))</x:f>
      </x:c>
    </x:row>
    <x:row r="284">
      <x:c r="A284" s="32"/>
      <x:c r="B284" s="32"/>
      <x:c r="C284" s="32"/>
      <x:c r="D284" s="35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7"/>
      <x:c r="O284" s="32"/>
      <x:c r="P284" s="40"/>
      <x:c r="Q284" s="40"/>
      <x:c r="R284" s="41" t="str">
        <x:f>IF(OR(P284="",Q284=""),"",P284-Q284)</x:f>
      </x:c>
      <x:c r="S284" s="32"/>
      <x:c r="T284" s="32"/>
      <x:c r="U284" s="32"/>
      <x:c r="V284" s="32"/>
      <x:c r="W284" s="32"/>
      <x:c r="X284" s="32"/>
      <x:c r="Y284" s="43" t="str">
        <x:f>IF(OR(X284="",X284="Pending"),"",IF(X284="Rejected",0,IF(AND(U284="Ya",V284="Ya",W284="Ya"),1,"")))</x:f>
      </x:c>
      <x:c r="AA284" s="32"/>
      <x:c r="AB284" s="32"/>
      <x:c r="AC284" s="32"/>
      <x:c r="AD284" s="32"/>
      <x:c r="AE284" s="32"/>
      <x:c r="AF284" s="32"/>
      <x:c r="AG284" s="33" t="str">
        <x:f>IF(OR(AE284="",AF284=""),"",IF(AE284="Positif",IF(AF284="Positif","TP","FN"),IF(AF284="Positif","FP","TN")))</x:f>
      </x:c>
    </x:row>
    <x:row r="285">
      <x:c r="A285" s="32"/>
      <x:c r="B285" s="32"/>
      <x:c r="C285" s="32"/>
      <x:c r="D285" s="35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7"/>
      <x:c r="O285" s="32"/>
      <x:c r="P285" s="40"/>
      <x:c r="Q285" s="40"/>
      <x:c r="R285" s="41" t="str">
        <x:f>IF(OR(P285="",Q285=""),"",P285-Q285)</x:f>
      </x:c>
      <x:c r="S285" s="32"/>
      <x:c r="T285" s="32"/>
      <x:c r="U285" s="32"/>
      <x:c r="V285" s="32"/>
      <x:c r="W285" s="32"/>
      <x:c r="X285" s="32"/>
      <x:c r="Y285" s="43" t="str">
        <x:f>IF(OR(X285="",X285="Pending"),"",IF(X285="Rejected",0,IF(AND(U285="Ya",V285="Ya",W285="Ya"),1,"")))</x:f>
      </x:c>
      <x:c r="AA285" s="32"/>
      <x:c r="AB285" s="32"/>
      <x:c r="AC285" s="32"/>
      <x:c r="AD285" s="32"/>
      <x:c r="AE285" s="32"/>
      <x:c r="AF285" s="32"/>
      <x:c r="AG285" s="33" t="str">
        <x:f>IF(OR(AE285="",AF285=""),"",IF(AE285="Positif",IF(AF285="Positif","TP","FN"),IF(AF285="Positif","FP","TN")))</x:f>
      </x:c>
    </x:row>
    <x:row r="286">
      <x:c r="A286" s="32"/>
      <x:c r="B286" s="32"/>
      <x:c r="C286" s="32"/>
      <x:c r="D286" s="35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7"/>
      <x:c r="O286" s="32"/>
      <x:c r="P286" s="40"/>
      <x:c r="Q286" s="40"/>
      <x:c r="R286" s="41" t="str">
        <x:f>IF(OR(P286="",Q286=""),"",P286-Q286)</x:f>
      </x:c>
      <x:c r="S286" s="32"/>
      <x:c r="T286" s="32"/>
      <x:c r="U286" s="32"/>
      <x:c r="V286" s="32"/>
      <x:c r="W286" s="32"/>
      <x:c r="X286" s="32"/>
      <x:c r="Y286" s="43" t="str">
        <x:f>IF(OR(X286="",X286="Pending"),"",IF(X286="Rejected",0,IF(AND(U286="Ya",V286="Ya",W286="Ya"),1,"")))</x:f>
      </x:c>
      <x:c r="AA286" s="32"/>
      <x:c r="AB286" s="32"/>
      <x:c r="AC286" s="32"/>
      <x:c r="AD286" s="32"/>
      <x:c r="AE286" s="32"/>
      <x:c r="AF286" s="32"/>
      <x:c r="AG286" s="33" t="str">
        <x:f>IF(OR(AE286="",AF286=""),"",IF(AE286="Positif",IF(AF286="Positif","TP","FN"),IF(AF286="Positif","FP","TN")))</x:f>
      </x:c>
    </x:row>
    <x:row r="287">
      <x:c r="A287" s="32"/>
      <x:c r="B287" s="32"/>
      <x:c r="C287" s="32"/>
      <x:c r="D287" s="35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7"/>
      <x:c r="O287" s="32"/>
      <x:c r="P287" s="40"/>
      <x:c r="Q287" s="40"/>
      <x:c r="R287" s="41" t="str">
        <x:f>IF(OR(P287="",Q287=""),"",P287-Q287)</x:f>
      </x:c>
      <x:c r="S287" s="32"/>
      <x:c r="T287" s="32"/>
      <x:c r="U287" s="32"/>
      <x:c r="V287" s="32"/>
      <x:c r="W287" s="32"/>
      <x:c r="X287" s="32"/>
      <x:c r="Y287" s="43" t="str">
        <x:f>IF(OR(X287="",X287="Pending"),"",IF(X287="Rejected",0,IF(AND(U287="Ya",V287="Ya",W287="Ya"),1,"")))</x:f>
      </x:c>
      <x:c r="AA287" s="32"/>
      <x:c r="AB287" s="32"/>
      <x:c r="AC287" s="32"/>
      <x:c r="AD287" s="32"/>
      <x:c r="AE287" s="32"/>
      <x:c r="AF287" s="32"/>
      <x:c r="AG287" s="33" t="str">
        <x:f>IF(OR(AE287="",AF287=""),"",IF(AE287="Positif",IF(AF287="Positif","TP","FN"),IF(AF287="Positif","FP","TN")))</x:f>
      </x:c>
    </x:row>
    <x:row r="288">
      <x:c r="A288" s="32"/>
      <x:c r="B288" s="32"/>
      <x:c r="C288" s="32"/>
      <x:c r="D288" s="35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7"/>
      <x:c r="O288" s="32"/>
      <x:c r="P288" s="40"/>
      <x:c r="Q288" s="40"/>
      <x:c r="R288" s="41" t="str">
        <x:f>IF(OR(P288="",Q288=""),"",P288-Q288)</x:f>
      </x:c>
      <x:c r="S288" s="32"/>
      <x:c r="T288" s="32"/>
      <x:c r="U288" s="32"/>
      <x:c r="V288" s="32"/>
      <x:c r="W288" s="32"/>
      <x:c r="X288" s="32"/>
      <x:c r="Y288" s="43" t="str">
        <x:f>IF(OR(X288="",X288="Pending"),"",IF(X288="Rejected",0,IF(AND(U288="Ya",V288="Ya",W288="Ya"),1,"")))</x:f>
      </x:c>
      <x:c r="AA288" s="32"/>
      <x:c r="AB288" s="32"/>
      <x:c r="AC288" s="32"/>
      <x:c r="AD288" s="32"/>
      <x:c r="AE288" s="32"/>
      <x:c r="AF288" s="32"/>
      <x:c r="AG288" s="33" t="str">
        <x:f>IF(OR(AE288="",AF288=""),"",IF(AE288="Positif",IF(AF288="Positif","TP","FN"),IF(AF288="Positif","FP","TN")))</x:f>
      </x:c>
    </x:row>
    <x:row r="289">
      <x:c r="A289" s="32"/>
      <x:c r="B289" s="32"/>
      <x:c r="C289" s="32"/>
      <x:c r="D289" s="35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7"/>
      <x:c r="O289" s="32"/>
      <x:c r="P289" s="40"/>
      <x:c r="Q289" s="40"/>
      <x:c r="R289" s="41" t="str">
        <x:f>IF(OR(P289="",Q289=""),"",P289-Q289)</x:f>
      </x:c>
      <x:c r="S289" s="32"/>
      <x:c r="T289" s="32"/>
      <x:c r="U289" s="32"/>
      <x:c r="V289" s="32"/>
      <x:c r="W289" s="32"/>
      <x:c r="X289" s="32"/>
      <x:c r="Y289" s="43" t="str">
        <x:f>IF(OR(X289="",X289="Pending"),"",IF(X289="Rejected",0,IF(AND(U289="Ya",V289="Ya",W289="Ya"),1,"")))</x:f>
      </x:c>
      <x:c r="AA289" s="32"/>
      <x:c r="AB289" s="32"/>
      <x:c r="AC289" s="32"/>
      <x:c r="AD289" s="32"/>
      <x:c r="AE289" s="32"/>
      <x:c r="AF289" s="32"/>
      <x:c r="AG289" s="33" t="str">
        <x:f>IF(OR(AE289="",AF289=""),"",IF(AE289="Positif",IF(AF289="Positif","TP","FN"),IF(AF289="Positif","FP","TN")))</x:f>
      </x:c>
    </x:row>
    <x:row r="290">
      <x:c r="A290" s="32"/>
      <x:c r="B290" s="32"/>
      <x:c r="C290" s="32"/>
      <x:c r="D290" s="35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7"/>
      <x:c r="O290" s="32"/>
      <x:c r="P290" s="40"/>
      <x:c r="Q290" s="40"/>
      <x:c r="R290" s="41" t="str">
        <x:f>IF(OR(P290="",Q290=""),"",P290-Q290)</x:f>
      </x:c>
      <x:c r="S290" s="32"/>
      <x:c r="T290" s="32"/>
      <x:c r="U290" s="32"/>
      <x:c r="V290" s="32"/>
      <x:c r="W290" s="32"/>
      <x:c r="X290" s="32"/>
      <x:c r="Y290" s="43" t="str">
        <x:f>IF(OR(X290="",X290="Pending"),"",IF(X290="Rejected",0,IF(AND(U290="Ya",V290="Ya",W290="Ya"),1,"")))</x:f>
      </x:c>
      <x:c r="AA290" s="32"/>
      <x:c r="AB290" s="32"/>
      <x:c r="AC290" s="32"/>
      <x:c r="AD290" s="32"/>
      <x:c r="AE290" s="32"/>
      <x:c r="AF290" s="32"/>
      <x:c r="AG290" s="33" t="str">
        <x:f>IF(OR(AE290="",AF290=""),"",IF(AE290="Positif",IF(AF290="Positif","TP","FN"),IF(AF290="Positif","FP","TN")))</x:f>
      </x:c>
    </x:row>
    <x:row r="291">
      <x:c r="A291" s="32"/>
      <x:c r="B291" s="32"/>
      <x:c r="C291" s="32"/>
      <x:c r="D291" s="35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7"/>
      <x:c r="O291" s="32"/>
      <x:c r="P291" s="40"/>
      <x:c r="Q291" s="40"/>
      <x:c r="R291" s="41" t="str">
        <x:f>IF(OR(P291="",Q291=""),"",P291-Q291)</x:f>
      </x:c>
      <x:c r="S291" s="32"/>
      <x:c r="T291" s="32"/>
      <x:c r="U291" s="32"/>
      <x:c r="V291" s="32"/>
      <x:c r="W291" s="32"/>
      <x:c r="X291" s="32"/>
      <x:c r="Y291" s="43" t="str">
        <x:f>IF(OR(X291="",X291="Pending"),"",IF(X291="Rejected",0,IF(AND(U291="Ya",V291="Ya",W291="Ya"),1,"")))</x:f>
      </x:c>
      <x:c r="AA291" s="32"/>
      <x:c r="AB291" s="32"/>
      <x:c r="AC291" s="32"/>
      <x:c r="AD291" s="32"/>
      <x:c r="AE291" s="32"/>
      <x:c r="AF291" s="32"/>
      <x:c r="AG291" s="33" t="str">
        <x:f>IF(OR(AE291="",AF291=""),"",IF(AE291="Positif",IF(AF291="Positif","TP","FN"),IF(AF291="Positif","FP","TN")))</x:f>
      </x:c>
    </x:row>
    <x:row r="292">
      <x:c r="A292" s="32"/>
      <x:c r="B292" s="32"/>
      <x:c r="C292" s="32"/>
      <x:c r="D292" s="35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7"/>
      <x:c r="O292" s="32"/>
      <x:c r="P292" s="40"/>
      <x:c r="Q292" s="40"/>
      <x:c r="R292" s="41" t="str">
        <x:f>IF(OR(P292="",Q292=""),"",P292-Q292)</x:f>
      </x:c>
      <x:c r="S292" s="32"/>
      <x:c r="T292" s="32"/>
      <x:c r="U292" s="32"/>
      <x:c r="V292" s="32"/>
      <x:c r="W292" s="32"/>
      <x:c r="X292" s="32"/>
      <x:c r="Y292" s="43" t="str">
        <x:f>IF(OR(X292="",X292="Pending"),"",IF(X292="Rejected",0,IF(AND(U292="Ya",V292="Ya",W292="Ya"),1,"")))</x:f>
      </x:c>
      <x:c r="AA292" s="32"/>
      <x:c r="AB292" s="32"/>
      <x:c r="AC292" s="32"/>
      <x:c r="AD292" s="32"/>
      <x:c r="AE292" s="32"/>
      <x:c r="AF292" s="32"/>
      <x:c r="AG292" s="33" t="str">
        <x:f>IF(OR(AE292="",AF292=""),"",IF(AE292="Positif",IF(AF292="Positif","TP","FN"),IF(AF292="Positif","FP","TN")))</x:f>
      </x:c>
    </x:row>
    <x:row r="293">
      <x:c r="A293" s="32"/>
      <x:c r="B293" s="32"/>
      <x:c r="C293" s="32"/>
      <x:c r="D293" s="35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7"/>
      <x:c r="O293" s="32"/>
      <x:c r="P293" s="40"/>
      <x:c r="Q293" s="40"/>
      <x:c r="R293" s="41" t="str">
        <x:f>IF(OR(P293="",Q293=""),"",P293-Q293)</x:f>
      </x:c>
      <x:c r="S293" s="32"/>
      <x:c r="T293" s="32"/>
      <x:c r="U293" s="32"/>
      <x:c r="V293" s="32"/>
      <x:c r="W293" s="32"/>
      <x:c r="X293" s="32"/>
      <x:c r="Y293" s="43" t="str">
        <x:f>IF(OR(X293="",X293="Pending"),"",IF(X293="Rejected",0,IF(AND(U293="Ya",V293="Ya",W293="Ya"),1,"")))</x:f>
      </x:c>
      <x:c r="AA293" s="32"/>
      <x:c r="AB293" s="32"/>
      <x:c r="AC293" s="32"/>
      <x:c r="AD293" s="32"/>
      <x:c r="AE293" s="32"/>
      <x:c r="AF293" s="32"/>
      <x:c r="AG293" s="33" t="str">
        <x:f>IF(OR(AE293="",AF293=""),"",IF(AE293="Positif",IF(AF293="Positif","TP","FN"),IF(AF293="Positif","FP","TN")))</x:f>
      </x:c>
    </x:row>
    <x:row r="294">
      <x:c r="A294" s="32"/>
      <x:c r="B294" s="32"/>
      <x:c r="C294" s="32"/>
      <x:c r="D294" s="35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7"/>
      <x:c r="O294" s="32"/>
      <x:c r="P294" s="40"/>
      <x:c r="Q294" s="40"/>
      <x:c r="R294" s="41" t="str">
        <x:f>IF(OR(P294="",Q294=""),"",P294-Q294)</x:f>
      </x:c>
      <x:c r="S294" s="32"/>
      <x:c r="T294" s="32"/>
      <x:c r="U294" s="32"/>
      <x:c r="V294" s="32"/>
      <x:c r="W294" s="32"/>
      <x:c r="X294" s="32"/>
      <x:c r="Y294" s="43" t="str">
        <x:f>IF(OR(X294="",X294="Pending"),"",IF(X294="Rejected",0,IF(AND(U294="Ya",V294="Ya",W294="Ya"),1,"")))</x:f>
      </x:c>
      <x:c r="AA294" s="32"/>
      <x:c r="AB294" s="32"/>
      <x:c r="AC294" s="32"/>
      <x:c r="AD294" s="32"/>
      <x:c r="AE294" s="32"/>
      <x:c r="AF294" s="32"/>
      <x:c r="AG294" s="33" t="str">
        <x:f>IF(OR(AE294="",AF294=""),"",IF(AE294="Positif",IF(AF294="Positif","TP","FN"),IF(AF294="Positif","FP","TN")))</x:f>
      </x:c>
    </x:row>
    <x:row r="295">
      <x:c r="A295" s="32"/>
      <x:c r="B295" s="32"/>
      <x:c r="C295" s="32"/>
      <x:c r="D295" s="35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7"/>
      <x:c r="O295" s="32"/>
      <x:c r="P295" s="40"/>
      <x:c r="Q295" s="40"/>
      <x:c r="R295" s="41" t="str">
        <x:f>IF(OR(P295="",Q295=""),"",P295-Q295)</x:f>
      </x:c>
      <x:c r="S295" s="32"/>
      <x:c r="T295" s="32"/>
      <x:c r="U295" s="32"/>
      <x:c r="V295" s="32"/>
      <x:c r="W295" s="32"/>
      <x:c r="X295" s="32"/>
      <x:c r="Y295" s="43" t="str">
        <x:f>IF(OR(X295="",X295="Pending"),"",IF(X295="Rejected",0,IF(AND(U295="Ya",V295="Ya",W295="Ya"),1,"")))</x:f>
      </x:c>
      <x:c r="AA295" s="32"/>
      <x:c r="AB295" s="32"/>
      <x:c r="AC295" s="32"/>
      <x:c r="AD295" s="32"/>
      <x:c r="AE295" s="32"/>
      <x:c r="AF295" s="32"/>
      <x:c r="AG295" s="33" t="str">
        <x:f>IF(OR(AE295="",AF295=""),"",IF(AE295="Positif",IF(AF295="Positif","TP","FN"),IF(AF295="Positif","FP","TN")))</x:f>
      </x:c>
    </x:row>
    <x:row r="296">
      <x:c r="A296" s="32"/>
      <x:c r="B296" s="32"/>
      <x:c r="C296" s="32"/>
      <x:c r="D296" s="35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7"/>
      <x:c r="O296" s="32"/>
      <x:c r="P296" s="40"/>
      <x:c r="Q296" s="40"/>
      <x:c r="R296" s="41" t="str">
        <x:f>IF(OR(P296="",Q296=""),"",P296-Q296)</x:f>
      </x:c>
      <x:c r="S296" s="32"/>
      <x:c r="T296" s="32"/>
      <x:c r="U296" s="32"/>
      <x:c r="V296" s="32"/>
      <x:c r="W296" s="32"/>
      <x:c r="X296" s="32"/>
      <x:c r="Y296" s="43" t="str">
        <x:f>IF(OR(X296="",X296="Pending"),"",IF(X296="Rejected",0,IF(AND(U296="Ya",V296="Ya",W296="Ya"),1,"")))</x:f>
      </x:c>
      <x:c r="AA296" s="32"/>
      <x:c r="AB296" s="32"/>
      <x:c r="AC296" s="32"/>
      <x:c r="AD296" s="32"/>
      <x:c r="AE296" s="32"/>
      <x:c r="AF296" s="32"/>
      <x:c r="AG296" s="33" t="str">
        <x:f>IF(OR(AE296="",AF296=""),"",IF(AE296="Positif",IF(AF296="Positif","TP","FN"),IF(AF296="Positif","FP","TN")))</x:f>
      </x:c>
    </x:row>
    <x:row r="297">
      <x:c r="A297" s="32"/>
      <x:c r="B297" s="32"/>
      <x:c r="C297" s="32"/>
      <x:c r="D297" s="35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7"/>
      <x:c r="O297" s="32"/>
      <x:c r="P297" s="40"/>
      <x:c r="Q297" s="40"/>
      <x:c r="R297" s="41" t="str">
        <x:f>IF(OR(P297="",Q297=""),"",P297-Q297)</x:f>
      </x:c>
      <x:c r="S297" s="32"/>
      <x:c r="T297" s="32"/>
      <x:c r="U297" s="32"/>
      <x:c r="V297" s="32"/>
      <x:c r="W297" s="32"/>
      <x:c r="X297" s="32"/>
      <x:c r="Y297" s="43" t="str">
        <x:f>IF(OR(X297="",X297="Pending"),"",IF(X297="Rejected",0,IF(AND(U297="Ya",V297="Ya",W297="Ya"),1,"")))</x:f>
      </x:c>
      <x:c r="AA297" s="32"/>
      <x:c r="AB297" s="32"/>
      <x:c r="AC297" s="32"/>
      <x:c r="AD297" s="32"/>
      <x:c r="AE297" s="32"/>
      <x:c r="AF297" s="32"/>
      <x:c r="AG297" s="33" t="str">
        <x:f>IF(OR(AE297="",AF297=""),"",IF(AE297="Positif",IF(AF297="Positif","TP","FN"),IF(AF297="Positif","FP","TN")))</x:f>
      </x:c>
    </x:row>
    <x:row r="298">
      <x:c r="A298" s="32"/>
      <x:c r="B298" s="32"/>
      <x:c r="C298" s="32"/>
      <x:c r="D298" s="35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7"/>
      <x:c r="O298" s="32"/>
      <x:c r="P298" s="40"/>
      <x:c r="Q298" s="40"/>
      <x:c r="R298" s="41" t="str">
        <x:f>IF(OR(P298="",Q298=""),"",P298-Q298)</x:f>
      </x:c>
      <x:c r="S298" s="32"/>
      <x:c r="T298" s="32"/>
      <x:c r="U298" s="32"/>
      <x:c r="V298" s="32"/>
      <x:c r="W298" s="32"/>
      <x:c r="X298" s="32"/>
      <x:c r="Y298" s="43" t="str">
        <x:f>IF(OR(X298="",X298="Pending"),"",IF(X298="Rejected",0,IF(AND(U298="Ya",V298="Ya",W298="Ya"),1,"")))</x:f>
      </x:c>
      <x:c r="AA298" s="32"/>
      <x:c r="AB298" s="32"/>
      <x:c r="AC298" s="32"/>
      <x:c r="AD298" s="32"/>
      <x:c r="AE298" s="32"/>
      <x:c r="AF298" s="32"/>
      <x:c r="AG298" s="33" t="str">
        <x:f>IF(OR(AE298="",AF298=""),"",IF(AE298="Positif",IF(AF298="Positif","TP","FN"),IF(AF298="Positif","FP","TN")))</x:f>
      </x:c>
    </x:row>
    <x:row r="299">
      <x:c r="A299" s="32"/>
      <x:c r="B299" s="32"/>
      <x:c r="C299" s="32"/>
      <x:c r="D299" s="35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7"/>
      <x:c r="O299" s="32"/>
      <x:c r="P299" s="40"/>
      <x:c r="Q299" s="40"/>
      <x:c r="R299" s="41" t="str">
        <x:f>IF(OR(P299="",Q299=""),"",P299-Q299)</x:f>
      </x:c>
      <x:c r="S299" s="32"/>
      <x:c r="T299" s="32"/>
      <x:c r="U299" s="32"/>
      <x:c r="V299" s="32"/>
      <x:c r="W299" s="32"/>
      <x:c r="X299" s="32"/>
      <x:c r="Y299" s="43" t="str">
        <x:f>IF(OR(X299="",X299="Pending"),"",IF(X299="Rejected",0,IF(AND(U299="Ya",V299="Ya",W299="Ya"),1,"")))</x:f>
      </x:c>
      <x:c r="AA299" s="32"/>
      <x:c r="AB299" s="32"/>
      <x:c r="AC299" s="32"/>
      <x:c r="AD299" s="32"/>
      <x:c r="AE299" s="32"/>
      <x:c r="AF299" s="32"/>
      <x:c r="AG299" s="33" t="str">
        <x:f>IF(OR(AE299="",AF299=""),"",IF(AE299="Positif",IF(AF299="Positif","TP","FN"),IF(AF299="Positif","FP","TN")))</x:f>
      </x:c>
    </x:row>
    <x:row r="300">
      <x:c r="A300" s="32"/>
      <x:c r="B300" s="32"/>
      <x:c r="C300" s="32"/>
      <x:c r="D300" s="35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7"/>
      <x:c r="O300" s="32"/>
      <x:c r="P300" s="40"/>
      <x:c r="Q300" s="40"/>
      <x:c r="R300" s="41" t="str">
        <x:f>IF(OR(P300="",Q300=""),"",P300-Q300)</x:f>
      </x:c>
      <x:c r="S300" s="32"/>
      <x:c r="T300" s="32"/>
      <x:c r="U300" s="32"/>
      <x:c r="V300" s="32"/>
      <x:c r="W300" s="32"/>
      <x:c r="X300" s="32"/>
      <x:c r="Y300" s="43" t="str">
        <x:f>IF(OR(X300="",X300="Pending"),"",IF(X300="Rejected",0,IF(AND(U300="Ya",V300="Ya",W300="Ya"),1,"")))</x:f>
      </x:c>
      <x:c r="AA300" s="32"/>
      <x:c r="AB300" s="32"/>
      <x:c r="AC300" s="32"/>
      <x:c r="AD300" s="32"/>
      <x:c r="AE300" s="32"/>
      <x:c r="AF300" s="32"/>
      <x:c r="AG300" s="33" t="str">
        <x:f>IF(OR(AE300="",AF300=""),"",IF(AE300="Positif",IF(AF300="Positif","TP","FN"),IF(AF300="Positif","FP","TN")))</x:f>
      </x:c>
    </x:row>
    <x:row r="301">
      <x:c r="A301" s="32"/>
      <x:c r="B301" s="32"/>
      <x:c r="C301" s="32"/>
      <x:c r="D301" s="35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7"/>
      <x:c r="O301" s="32"/>
      <x:c r="P301" s="40"/>
      <x:c r="Q301" s="40"/>
      <x:c r="R301" s="41" t="str">
        <x:f>IF(OR(P301="",Q301=""),"",P301-Q301)</x:f>
      </x:c>
      <x:c r="S301" s="32"/>
      <x:c r="T301" s="32"/>
      <x:c r="U301" s="32"/>
      <x:c r="V301" s="32"/>
      <x:c r="W301" s="32"/>
      <x:c r="X301" s="32"/>
      <x:c r="Y301" s="43" t="str">
        <x:f>IF(OR(X301="",X301="Pending"),"",IF(X301="Rejected",0,IF(AND(U301="Ya",V301="Ya",W301="Ya"),1,"")))</x:f>
      </x:c>
      <x:c r="AA301" s="32"/>
      <x:c r="AB301" s="32"/>
      <x:c r="AC301" s="32"/>
      <x:c r="AD301" s="32"/>
      <x:c r="AE301" s="32"/>
      <x:c r="AF301" s="32"/>
      <x:c r="AG301" s="33" t="str">
        <x:f>IF(OR(AE301="",AF301=""),"",IF(AE301="Positif",IF(AF301="Positif","TP","FN"),IF(AF301="Positif","FP","TN")))</x:f>
      </x:c>
    </x:row>
    <x:row r="302">
      <x:c r="A302" s="32"/>
      <x:c r="B302" s="32"/>
      <x:c r="C302" s="32"/>
      <x:c r="D302" s="35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7"/>
      <x:c r="O302" s="32"/>
      <x:c r="P302" s="40"/>
      <x:c r="Q302" s="40"/>
      <x:c r="R302" s="41" t="str">
        <x:f>IF(OR(P302="",Q302=""),"",P302-Q302)</x:f>
      </x:c>
      <x:c r="S302" s="32"/>
      <x:c r="T302" s="32"/>
      <x:c r="U302" s="32"/>
      <x:c r="V302" s="32"/>
      <x:c r="W302" s="32"/>
      <x:c r="X302" s="32"/>
      <x:c r="Y302" s="43" t="str">
        <x:f>IF(OR(X302="",X302="Pending"),"",IF(X302="Rejected",0,IF(AND(U302="Ya",V302="Ya",W302="Ya"),1,"")))</x:f>
      </x:c>
      <x:c r="AA302" s="32"/>
      <x:c r="AB302" s="32"/>
      <x:c r="AC302" s="32"/>
      <x:c r="AD302" s="32"/>
      <x:c r="AE302" s="32"/>
      <x:c r="AF302" s="32"/>
      <x:c r="AG302" s="33" t="str">
        <x:f>IF(OR(AE302="",AF302=""),"",IF(AE302="Positif",IF(AF302="Positif","TP","FN"),IF(AF302="Positif","FP","TN")))</x:f>
      </x:c>
    </x:row>
    <x:row r="303">
      <x:c r="A303" s="32"/>
      <x:c r="B303" s="32"/>
      <x:c r="C303" s="32"/>
      <x:c r="D303" s="35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7"/>
      <x:c r="O303" s="32"/>
      <x:c r="P303" s="40"/>
      <x:c r="Q303" s="40"/>
      <x:c r="R303" s="41" t="str">
        <x:f>IF(OR(P303="",Q303=""),"",P303-Q303)</x:f>
      </x:c>
      <x:c r="S303" s="32"/>
      <x:c r="T303" s="32"/>
      <x:c r="U303" s="32"/>
      <x:c r="V303" s="32"/>
      <x:c r="W303" s="32"/>
      <x:c r="X303" s="32"/>
      <x:c r="Y303" s="43" t="str">
        <x:f>IF(OR(X303="",X303="Pending"),"",IF(X303="Rejected",0,IF(AND(U303="Ya",V303="Ya",W303="Ya"),1,"")))</x:f>
      </x:c>
      <x:c r="AA303" s="32"/>
      <x:c r="AB303" s="32"/>
      <x:c r="AC303" s="32"/>
      <x:c r="AD303" s="32"/>
      <x:c r="AE303" s="32"/>
      <x:c r="AF303" s="32"/>
      <x:c r="AG303" s="33" t="str">
        <x:f>IF(OR(AE303="",AF303=""),"",IF(AE303="Positif",IF(AF303="Positif","TP","FN"),IF(AF303="Positif","FP","TN")))</x:f>
      </x:c>
    </x:row>
    <x:row r="304">
      <x:c r="A304" s="32"/>
      <x:c r="B304" s="32"/>
      <x:c r="C304" s="32"/>
      <x:c r="D304" s="35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7"/>
      <x:c r="O304" s="32"/>
      <x:c r="P304" s="40"/>
      <x:c r="Q304" s="40"/>
      <x:c r="R304" s="41" t="str">
        <x:f>IF(OR(P304="",Q304=""),"",P304-Q304)</x:f>
      </x:c>
      <x:c r="S304" s="32"/>
      <x:c r="T304" s="32"/>
      <x:c r="U304" s="32"/>
      <x:c r="V304" s="32"/>
      <x:c r="W304" s="32"/>
      <x:c r="X304" s="32"/>
      <x:c r="Y304" s="43" t="str">
        <x:f>IF(OR(X304="",X304="Pending"),"",IF(X304="Rejected",0,IF(AND(U304="Ya",V304="Ya",W304="Ya"),1,"")))</x:f>
      </x:c>
      <x:c r="AA304" s="32"/>
      <x:c r="AB304" s="32"/>
      <x:c r="AC304" s="32"/>
      <x:c r="AD304" s="32"/>
      <x:c r="AE304" s="32"/>
      <x:c r="AF304" s="32"/>
      <x:c r="AG304" s="33" t="str">
        <x:f>IF(OR(AE304="",AF304=""),"",IF(AE304="Positif",IF(AF304="Positif","TP","FN"),IF(AF304="Positif","FP","TN")))</x:f>
      </x:c>
    </x:row>
    <x:row r="305">
      <x:c r="A305" s="32"/>
      <x:c r="B305" s="32"/>
      <x:c r="C305" s="32"/>
      <x:c r="D305" s="35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7"/>
      <x:c r="O305" s="32"/>
      <x:c r="P305" s="40"/>
      <x:c r="Q305" s="40"/>
      <x:c r="R305" s="41" t="str">
        <x:f>IF(OR(P305="",Q305=""),"",P305-Q305)</x:f>
      </x:c>
      <x:c r="S305" s="32"/>
      <x:c r="T305" s="32"/>
      <x:c r="U305" s="32"/>
      <x:c r="V305" s="32"/>
      <x:c r="W305" s="32"/>
      <x:c r="X305" s="32"/>
      <x:c r="Y305" s="43" t="str">
        <x:f>IF(OR(X305="",X305="Pending"),"",IF(X305="Rejected",0,IF(AND(U305="Ya",V305="Ya",W305="Ya"),1,"")))</x:f>
      </x:c>
      <x:c r="AA305" s="32"/>
      <x:c r="AB305" s="32"/>
      <x:c r="AC305" s="32"/>
      <x:c r="AD305" s="32"/>
      <x:c r="AE305" s="32"/>
      <x:c r="AF305" s="32"/>
      <x:c r="AG305" s="33" t="str">
        <x:f>IF(OR(AE305="",AF305=""),"",IF(AE305="Positif",IF(AF305="Positif","TP","FN"),IF(AF305="Positif","FP","TN")))</x:f>
      </x:c>
    </x:row>
    <x:row r="306">
      <x:c r="A306" s="32"/>
      <x:c r="B306" s="32"/>
      <x:c r="C306" s="32"/>
      <x:c r="D306" s="35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7"/>
      <x:c r="O306" s="32"/>
      <x:c r="P306" s="40"/>
      <x:c r="Q306" s="40"/>
      <x:c r="R306" s="41" t="str">
        <x:f>IF(OR(P306="",Q306=""),"",P306-Q306)</x:f>
      </x:c>
      <x:c r="S306" s="32"/>
      <x:c r="T306" s="32"/>
      <x:c r="U306" s="32"/>
      <x:c r="V306" s="32"/>
      <x:c r="W306" s="32"/>
      <x:c r="X306" s="32"/>
      <x:c r="Y306" s="43" t="str">
        <x:f>IF(OR(X306="",X306="Pending"),"",IF(X306="Rejected",0,IF(AND(U306="Ya",V306="Ya",W306="Ya"),1,"")))</x:f>
      </x:c>
      <x:c r="AA306" s="32"/>
      <x:c r="AB306" s="32"/>
      <x:c r="AC306" s="32"/>
      <x:c r="AD306" s="32"/>
      <x:c r="AE306" s="32"/>
      <x:c r="AF306" s="32"/>
      <x:c r="AG306" s="33" t="str">
        <x:f>IF(OR(AE306="",AF306=""),"",IF(AE306="Positif",IF(AF306="Positif","TP","FN"),IF(AF306="Positif","FP","TN")))</x:f>
      </x:c>
    </x:row>
    <x:row r="307">
      <x:c r="A307" s="32"/>
      <x:c r="B307" s="32"/>
      <x:c r="C307" s="32"/>
      <x:c r="D307" s="35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7"/>
      <x:c r="O307" s="32"/>
      <x:c r="P307" s="40"/>
      <x:c r="Q307" s="40"/>
      <x:c r="R307" s="41" t="str">
        <x:f>IF(OR(P307="",Q307=""),"",P307-Q307)</x:f>
      </x:c>
      <x:c r="S307" s="32"/>
      <x:c r="T307" s="32"/>
      <x:c r="U307" s="32"/>
      <x:c r="V307" s="32"/>
      <x:c r="W307" s="32"/>
      <x:c r="X307" s="32"/>
      <x:c r="Y307" s="43" t="str">
        <x:f>IF(OR(X307="",X307="Pending"),"",IF(X307="Rejected",0,IF(AND(U307="Ya",V307="Ya",W307="Ya"),1,"")))</x:f>
      </x:c>
      <x:c r="AA307" s="32"/>
      <x:c r="AB307" s="32"/>
      <x:c r="AC307" s="32"/>
      <x:c r="AD307" s="32"/>
      <x:c r="AE307" s="32"/>
      <x:c r="AF307" s="32"/>
      <x:c r="AG307" s="33" t="str">
        <x:f>IF(OR(AE307="",AF307=""),"",IF(AE307="Positif",IF(AF307="Positif","TP","FN"),IF(AF307="Positif","FP","TN")))</x:f>
      </x:c>
    </x:row>
    <x:row r="308">
      <x:c r="A308" s="32"/>
      <x:c r="B308" s="32"/>
      <x:c r="C308" s="32"/>
      <x:c r="D308" s="35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7"/>
      <x:c r="O308" s="32"/>
      <x:c r="P308" s="40"/>
      <x:c r="Q308" s="40"/>
      <x:c r="R308" s="41" t="str">
        <x:f>IF(OR(P308="",Q308=""),"",P308-Q308)</x:f>
      </x:c>
      <x:c r="S308" s="32"/>
      <x:c r="T308" s="32"/>
      <x:c r="U308" s="32"/>
      <x:c r="V308" s="32"/>
      <x:c r="W308" s="32"/>
      <x:c r="X308" s="32"/>
      <x:c r="Y308" s="43" t="str">
        <x:f>IF(OR(X308="",X308="Pending"),"",IF(X308="Rejected",0,IF(AND(U308="Ya",V308="Ya",W308="Ya"),1,"")))</x:f>
      </x:c>
      <x:c r="AA308" s="32"/>
      <x:c r="AB308" s="32"/>
      <x:c r="AC308" s="32"/>
      <x:c r="AD308" s="32"/>
      <x:c r="AE308" s="32"/>
      <x:c r="AF308" s="32"/>
      <x:c r="AG308" s="33" t="str">
        <x:f>IF(OR(AE308="",AF308=""),"",IF(AE308="Positif",IF(AF308="Positif","TP","FN"),IF(AF308="Positif","FP","TN")))</x:f>
      </x:c>
    </x:row>
    <x:row r="309">
      <x:c r="A309" s="32"/>
      <x:c r="B309" s="32"/>
      <x:c r="C309" s="32"/>
      <x:c r="D309" s="35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7"/>
      <x:c r="O309" s="32"/>
      <x:c r="P309" s="40"/>
      <x:c r="Q309" s="40"/>
      <x:c r="R309" s="41" t="str">
        <x:f>IF(OR(P309="",Q309=""),"",P309-Q309)</x:f>
      </x:c>
      <x:c r="S309" s="32"/>
      <x:c r="T309" s="32"/>
      <x:c r="U309" s="32"/>
      <x:c r="V309" s="32"/>
      <x:c r="W309" s="32"/>
      <x:c r="X309" s="32"/>
      <x:c r="Y309" s="43" t="str">
        <x:f>IF(OR(X309="",X309="Pending"),"",IF(X309="Rejected",0,IF(AND(U309="Ya",V309="Ya",W309="Ya"),1,"")))</x:f>
      </x:c>
      <x:c r="AA309" s="32"/>
      <x:c r="AB309" s="32"/>
      <x:c r="AC309" s="32"/>
      <x:c r="AD309" s="32"/>
      <x:c r="AE309" s="32"/>
      <x:c r="AF309" s="32"/>
      <x:c r="AG309" s="33" t="str">
        <x:f>IF(OR(AE309="",AF309=""),"",IF(AE309="Positif",IF(AF309="Positif","TP","FN"),IF(AF309="Positif","FP","TN")))</x:f>
      </x:c>
    </x:row>
    <x:row r="310">
      <x:c r="A310" s="32"/>
      <x:c r="B310" s="32"/>
      <x:c r="C310" s="32"/>
      <x:c r="D310" s="35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7"/>
      <x:c r="O310" s="32"/>
      <x:c r="P310" s="40"/>
      <x:c r="Q310" s="40"/>
      <x:c r="R310" s="41" t="str">
        <x:f>IF(OR(P310="",Q310=""),"",P310-Q310)</x:f>
      </x:c>
      <x:c r="S310" s="32"/>
      <x:c r="T310" s="32"/>
      <x:c r="U310" s="32"/>
      <x:c r="V310" s="32"/>
      <x:c r="W310" s="32"/>
      <x:c r="X310" s="32"/>
      <x:c r="Y310" s="43" t="str">
        <x:f>IF(OR(X310="",X310="Pending"),"",IF(X310="Rejected",0,IF(AND(U310="Ya",V310="Ya",W310="Ya"),1,"")))</x:f>
      </x:c>
      <x:c r="AA310" s="32"/>
      <x:c r="AB310" s="32"/>
      <x:c r="AC310" s="32"/>
      <x:c r="AD310" s="32"/>
      <x:c r="AE310" s="32"/>
      <x:c r="AF310" s="32"/>
      <x:c r="AG310" s="33" t="str">
        <x:f>IF(OR(AE310="",AF310=""),"",IF(AE310="Positif",IF(AF310="Positif","TP","FN"),IF(AF310="Positif","FP","TN")))</x:f>
      </x:c>
    </x:row>
    <x:row r="311">
      <x:c r="A311" s="32"/>
      <x:c r="B311" s="32"/>
      <x:c r="C311" s="32"/>
      <x:c r="D311" s="35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7"/>
      <x:c r="O311" s="32"/>
      <x:c r="P311" s="40"/>
      <x:c r="Q311" s="40"/>
      <x:c r="R311" s="41" t="str">
        <x:f>IF(OR(P311="",Q311=""),"",P311-Q311)</x:f>
      </x:c>
      <x:c r="S311" s="32"/>
      <x:c r="T311" s="32"/>
      <x:c r="U311" s="32"/>
      <x:c r="V311" s="32"/>
      <x:c r="W311" s="32"/>
      <x:c r="X311" s="32"/>
      <x:c r="Y311" s="43" t="str">
        <x:f>IF(OR(X311="",X311="Pending"),"",IF(X311="Rejected",0,IF(AND(U311="Ya",V311="Ya",W311="Ya"),1,"")))</x:f>
      </x:c>
      <x:c r="AA311" s="32"/>
      <x:c r="AB311" s="32"/>
      <x:c r="AC311" s="32"/>
      <x:c r="AD311" s="32"/>
      <x:c r="AE311" s="32"/>
      <x:c r="AF311" s="32"/>
      <x:c r="AG311" s="33" t="str">
        <x:f>IF(OR(AE311="",AF311=""),"",IF(AE311="Positif",IF(AF311="Positif","TP","FN"),IF(AF311="Positif","FP","TN")))</x:f>
      </x:c>
    </x:row>
    <x:row r="312">
      <x:c r="A312" s="32"/>
      <x:c r="B312" s="32"/>
      <x:c r="C312" s="32"/>
      <x:c r="D312" s="35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7"/>
      <x:c r="O312" s="32"/>
      <x:c r="P312" s="40"/>
      <x:c r="Q312" s="40"/>
      <x:c r="R312" s="41" t="str">
        <x:f>IF(OR(P312="",Q312=""),"",P312-Q312)</x:f>
      </x:c>
      <x:c r="S312" s="32"/>
      <x:c r="T312" s="32"/>
      <x:c r="U312" s="32"/>
      <x:c r="V312" s="32"/>
      <x:c r="W312" s="32"/>
      <x:c r="X312" s="32"/>
      <x:c r="Y312" s="43" t="str">
        <x:f>IF(OR(X312="",X312="Pending"),"",IF(X312="Rejected",0,IF(AND(U312="Ya",V312="Ya",W312="Ya"),1,"")))</x:f>
      </x:c>
      <x:c r="AA312" s="32"/>
      <x:c r="AB312" s="32"/>
      <x:c r="AC312" s="32"/>
      <x:c r="AD312" s="32"/>
      <x:c r="AE312" s="32"/>
      <x:c r="AF312" s="32"/>
      <x:c r="AG312" s="33" t="str">
        <x:f>IF(OR(AE312="",AF312=""),"",IF(AE312="Positif",IF(AF312="Positif","TP","FN"),IF(AF312="Positif","FP","TN")))</x:f>
      </x:c>
    </x:row>
    <x:row r="313">
      <x:c r="A313" s="32"/>
      <x:c r="B313" s="32"/>
      <x:c r="C313" s="32"/>
      <x:c r="D313" s="35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7"/>
      <x:c r="O313" s="32"/>
      <x:c r="P313" s="40"/>
      <x:c r="Q313" s="40"/>
      <x:c r="R313" s="41" t="str">
        <x:f>IF(OR(P313="",Q313=""),"",P313-Q313)</x:f>
      </x:c>
      <x:c r="S313" s="32"/>
      <x:c r="T313" s="32"/>
      <x:c r="U313" s="32"/>
      <x:c r="V313" s="32"/>
      <x:c r="W313" s="32"/>
      <x:c r="X313" s="32"/>
      <x:c r="Y313" s="43" t="str">
        <x:f>IF(OR(X313="",X313="Pending"),"",IF(X313="Rejected",0,IF(AND(U313="Ya",V313="Ya",W313="Ya"),1,"")))</x:f>
      </x:c>
      <x:c r="AA313" s="32"/>
      <x:c r="AB313" s="32"/>
      <x:c r="AC313" s="32"/>
      <x:c r="AD313" s="32"/>
      <x:c r="AE313" s="32"/>
      <x:c r="AF313" s="32"/>
      <x:c r="AG313" s="33" t="str">
        <x:f>IF(OR(AE313="",AF313=""),"",IF(AE313="Positif",IF(AF313="Positif","TP","FN"),IF(AF313="Positif","FP","TN")))</x:f>
      </x:c>
    </x:row>
    <x:row r="314">
      <x:c r="A314" s="32"/>
      <x:c r="B314" s="32"/>
      <x:c r="C314" s="32"/>
      <x:c r="D314" s="35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7"/>
      <x:c r="O314" s="32"/>
      <x:c r="P314" s="40"/>
      <x:c r="Q314" s="40"/>
      <x:c r="R314" s="41" t="str">
        <x:f>IF(OR(P314="",Q314=""),"",P314-Q314)</x:f>
      </x:c>
      <x:c r="S314" s="32"/>
      <x:c r="T314" s="32"/>
      <x:c r="U314" s="32"/>
      <x:c r="V314" s="32"/>
      <x:c r="W314" s="32"/>
      <x:c r="X314" s="32"/>
      <x:c r="Y314" s="43" t="str">
        <x:f>IF(OR(X314="",X314="Pending"),"",IF(X314="Rejected",0,IF(AND(U314="Ya",V314="Ya",W314="Ya"),1,"")))</x:f>
      </x:c>
      <x:c r="AA314" s="32"/>
      <x:c r="AB314" s="32"/>
      <x:c r="AC314" s="32"/>
      <x:c r="AD314" s="32"/>
      <x:c r="AE314" s="32"/>
      <x:c r="AF314" s="32"/>
      <x:c r="AG314" s="33" t="str">
        <x:f>IF(OR(AE314="",AF314=""),"",IF(AE314="Positif",IF(AF314="Positif","TP","FN"),IF(AF314="Positif","FP","TN")))</x:f>
      </x:c>
    </x:row>
    <x:row r="315">
      <x:c r="A315" s="32"/>
      <x:c r="B315" s="32"/>
      <x:c r="C315" s="32"/>
      <x:c r="D315" s="35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7"/>
      <x:c r="O315" s="32"/>
      <x:c r="P315" s="40"/>
      <x:c r="Q315" s="40"/>
      <x:c r="R315" s="41" t="str">
        <x:f>IF(OR(P315="",Q315=""),"",P315-Q315)</x:f>
      </x:c>
      <x:c r="S315" s="32"/>
      <x:c r="T315" s="32"/>
      <x:c r="U315" s="32"/>
      <x:c r="V315" s="32"/>
      <x:c r="W315" s="32"/>
      <x:c r="X315" s="32"/>
      <x:c r="Y315" s="43" t="str">
        <x:f>IF(OR(X315="",X315="Pending"),"",IF(X315="Rejected",0,IF(AND(U315="Ya",V315="Ya",W315="Ya"),1,"")))</x:f>
      </x:c>
      <x:c r="AA315" s="32"/>
      <x:c r="AB315" s="32"/>
      <x:c r="AC315" s="32"/>
      <x:c r="AD315" s="32"/>
      <x:c r="AE315" s="32"/>
      <x:c r="AF315" s="32"/>
      <x:c r="AG315" s="33" t="str">
        <x:f>IF(OR(AE315="",AF315=""),"",IF(AE315="Positif",IF(AF315="Positif","TP","FN"),IF(AF315="Positif","FP","TN")))</x:f>
      </x:c>
    </x:row>
    <x:row r="316">
      <x:c r="A316" s="32"/>
      <x:c r="B316" s="32"/>
      <x:c r="C316" s="32"/>
      <x:c r="D316" s="35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7"/>
      <x:c r="O316" s="32"/>
      <x:c r="P316" s="40"/>
      <x:c r="Q316" s="40"/>
      <x:c r="R316" s="41" t="str">
        <x:f>IF(OR(P316="",Q316=""),"",P316-Q316)</x:f>
      </x:c>
      <x:c r="S316" s="32"/>
      <x:c r="T316" s="32"/>
      <x:c r="U316" s="32"/>
      <x:c r="V316" s="32"/>
      <x:c r="W316" s="32"/>
      <x:c r="X316" s="32"/>
      <x:c r="Y316" s="43" t="str">
        <x:f>IF(OR(X316="",X316="Pending"),"",IF(X316="Rejected",0,IF(AND(U316="Ya",V316="Ya",W316="Ya"),1,"")))</x:f>
      </x:c>
      <x:c r="AA316" s="32"/>
      <x:c r="AB316" s="32"/>
      <x:c r="AC316" s="32"/>
      <x:c r="AD316" s="32"/>
      <x:c r="AE316" s="32"/>
      <x:c r="AF316" s="32"/>
      <x:c r="AG316" s="33" t="str">
        <x:f>IF(OR(AE316="",AF316=""),"",IF(AE316="Positif",IF(AF316="Positif","TP","FN"),IF(AF316="Positif","FP","TN")))</x:f>
      </x:c>
    </x:row>
    <x:row r="317">
      <x:c r="A317" s="32"/>
      <x:c r="B317" s="32"/>
      <x:c r="C317" s="32"/>
      <x:c r="D317" s="35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7"/>
      <x:c r="O317" s="32"/>
      <x:c r="P317" s="40"/>
      <x:c r="Q317" s="40"/>
      <x:c r="R317" s="41" t="str">
        <x:f>IF(OR(P317="",Q317=""),"",P317-Q317)</x:f>
      </x:c>
      <x:c r="S317" s="32"/>
      <x:c r="T317" s="32"/>
      <x:c r="U317" s="32"/>
      <x:c r="V317" s="32"/>
      <x:c r="W317" s="32"/>
      <x:c r="X317" s="32"/>
      <x:c r="Y317" s="43" t="str">
        <x:f>IF(OR(X317="",X317="Pending"),"",IF(X317="Rejected",0,IF(AND(U317="Ya",V317="Ya",W317="Ya"),1,"")))</x:f>
      </x:c>
      <x:c r="AA317" s="32"/>
      <x:c r="AB317" s="32"/>
      <x:c r="AC317" s="32"/>
      <x:c r="AD317" s="32"/>
      <x:c r="AE317" s="32"/>
      <x:c r="AF317" s="32"/>
      <x:c r="AG317" s="33" t="str">
        <x:f>IF(OR(AE317="",AF317=""),"",IF(AE317="Positif",IF(AF317="Positif","TP","FN"),IF(AF317="Positif","FP","TN")))</x:f>
      </x:c>
    </x:row>
    <x:row r="318">
      <x:c r="A318" s="32"/>
      <x:c r="B318" s="32"/>
      <x:c r="C318" s="32"/>
      <x:c r="D318" s="35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7"/>
      <x:c r="O318" s="32"/>
      <x:c r="P318" s="40"/>
      <x:c r="Q318" s="40"/>
      <x:c r="R318" s="41" t="str">
        <x:f>IF(OR(P318="",Q318=""),"",P318-Q318)</x:f>
      </x:c>
      <x:c r="S318" s="32"/>
      <x:c r="T318" s="32"/>
      <x:c r="U318" s="32"/>
      <x:c r="V318" s="32"/>
      <x:c r="W318" s="32"/>
      <x:c r="X318" s="32"/>
      <x:c r="Y318" s="43" t="str">
        <x:f>IF(OR(X318="",X318="Pending"),"",IF(X318="Rejected",0,IF(AND(U318="Ya",V318="Ya",W318="Ya"),1,"")))</x:f>
      </x:c>
      <x:c r="AA318" s="32"/>
      <x:c r="AB318" s="32"/>
      <x:c r="AC318" s="32"/>
      <x:c r="AD318" s="32"/>
      <x:c r="AE318" s="32"/>
      <x:c r="AF318" s="32"/>
      <x:c r="AG318" s="33" t="str">
        <x:f>IF(OR(AE318="",AF318=""),"",IF(AE318="Positif",IF(AF318="Positif","TP","FN"),IF(AF318="Positif","FP","TN")))</x:f>
      </x:c>
    </x:row>
    <x:row r="319">
      <x:c r="A319" s="32"/>
      <x:c r="B319" s="32"/>
      <x:c r="C319" s="32"/>
      <x:c r="D319" s="35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7"/>
      <x:c r="O319" s="32"/>
      <x:c r="P319" s="40"/>
      <x:c r="Q319" s="40"/>
      <x:c r="R319" s="41" t="str">
        <x:f>IF(OR(P319="",Q319=""),"",P319-Q319)</x:f>
      </x:c>
      <x:c r="S319" s="32"/>
      <x:c r="T319" s="32"/>
      <x:c r="U319" s="32"/>
      <x:c r="V319" s="32"/>
      <x:c r="W319" s="32"/>
      <x:c r="X319" s="32"/>
      <x:c r="Y319" s="43" t="str">
        <x:f>IF(OR(X319="",X319="Pending"),"",IF(X319="Rejected",0,IF(AND(U319="Ya",V319="Ya",W319="Ya"),1,"")))</x:f>
      </x:c>
      <x:c r="AA319" s="32"/>
      <x:c r="AB319" s="32"/>
      <x:c r="AC319" s="32"/>
      <x:c r="AD319" s="32"/>
      <x:c r="AE319" s="32"/>
      <x:c r="AF319" s="32"/>
      <x:c r="AG319" s="33" t="str">
        <x:f>IF(OR(AE319="",AF319=""),"",IF(AE319="Positif",IF(AF319="Positif","TP","FN"),IF(AF319="Positif","FP","TN")))</x:f>
      </x:c>
    </x:row>
    <x:row r="320">
      <x:c r="A320" s="32"/>
      <x:c r="B320" s="32"/>
      <x:c r="C320" s="32"/>
      <x:c r="D320" s="35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7"/>
      <x:c r="O320" s="32"/>
      <x:c r="P320" s="40"/>
      <x:c r="Q320" s="40"/>
      <x:c r="R320" s="41" t="str">
        <x:f>IF(OR(P320="",Q320=""),"",P320-Q320)</x:f>
      </x:c>
      <x:c r="S320" s="32"/>
      <x:c r="T320" s="32"/>
      <x:c r="U320" s="32"/>
      <x:c r="V320" s="32"/>
      <x:c r="W320" s="32"/>
      <x:c r="X320" s="32"/>
      <x:c r="Y320" s="43" t="str">
        <x:f>IF(OR(X320="",X320="Pending"),"",IF(X320="Rejected",0,IF(AND(U320="Ya",V320="Ya",W320="Ya"),1,"")))</x:f>
      </x:c>
      <x:c r="AA320" s="32"/>
      <x:c r="AB320" s="32"/>
      <x:c r="AC320" s="32"/>
      <x:c r="AD320" s="32"/>
      <x:c r="AE320" s="32"/>
      <x:c r="AF320" s="32"/>
      <x:c r="AG320" s="33" t="str">
        <x:f>IF(OR(AE320="",AF320=""),"",IF(AE320="Positif",IF(AF320="Positif","TP","FN"),IF(AF320="Positif","FP","TN")))</x:f>
      </x:c>
    </x:row>
    <x:row r="321">
      <x:c r="A321" s="32"/>
      <x:c r="B321" s="32"/>
      <x:c r="C321" s="32"/>
      <x:c r="D321" s="35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7"/>
      <x:c r="O321" s="32"/>
      <x:c r="P321" s="40"/>
      <x:c r="Q321" s="40"/>
      <x:c r="R321" s="41" t="str">
        <x:f>IF(OR(P321="",Q321=""),"",P321-Q321)</x:f>
      </x:c>
      <x:c r="S321" s="32"/>
      <x:c r="T321" s="32"/>
      <x:c r="U321" s="32"/>
      <x:c r="V321" s="32"/>
      <x:c r="W321" s="32"/>
      <x:c r="X321" s="32"/>
      <x:c r="Y321" s="43" t="str">
        <x:f>IF(OR(X321="",X321="Pending"),"",IF(X321="Rejected",0,IF(AND(U321="Ya",V321="Ya",W321="Ya"),1,"")))</x:f>
      </x:c>
      <x:c r="AA321" s="32"/>
      <x:c r="AB321" s="32"/>
      <x:c r="AC321" s="32"/>
      <x:c r="AD321" s="32"/>
      <x:c r="AE321" s="32"/>
      <x:c r="AF321" s="32"/>
      <x:c r="AG321" s="33" t="str">
        <x:f>IF(OR(AE321="",AF321=""),"",IF(AE321="Positif",IF(AF321="Positif","TP","FN"),IF(AF321="Positif","FP","TN")))</x:f>
      </x:c>
    </x:row>
    <x:row r="322">
      <x:c r="A322" s="32"/>
      <x:c r="B322" s="32"/>
      <x:c r="C322" s="32"/>
      <x:c r="D322" s="35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7"/>
      <x:c r="O322" s="32"/>
      <x:c r="P322" s="40"/>
      <x:c r="Q322" s="40"/>
      <x:c r="R322" s="41" t="str">
        <x:f>IF(OR(P322="",Q322=""),"",P322-Q322)</x:f>
      </x:c>
      <x:c r="S322" s="32"/>
      <x:c r="T322" s="32"/>
      <x:c r="U322" s="32"/>
      <x:c r="V322" s="32"/>
      <x:c r="W322" s="32"/>
      <x:c r="X322" s="32"/>
      <x:c r="Y322" s="43" t="str">
        <x:f>IF(OR(X322="",X322="Pending"),"",IF(X322="Rejected",0,IF(AND(U322="Ya",V322="Ya",W322="Ya"),1,"")))</x:f>
      </x:c>
      <x:c r="AA322" s="32"/>
      <x:c r="AB322" s="32"/>
      <x:c r="AC322" s="32"/>
      <x:c r="AD322" s="32"/>
      <x:c r="AE322" s="32"/>
      <x:c r="AF322" s="32"/>
      <x:c r="AG322" s="33" t="str">
        <x:f>IF(OR(AE322="",AF322=""),"",IF(AE322="Positif",IF(AF322="Positif","TP","FN"),IF(AF322="Positif","FP","TN")))</x:f>
      </x:c>
    </x:row>
    <x:row r="323">
      <x:c r="A323" s="32"/>
      <x:c r="B323" s="32"/>
      <x:c r="C323" s="32"/>
      <x:c r="D323" s="35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7"/>
      <x:c r="O323" s="32"/>
      <x:c r="P323" s="40"/>
      <x:c r="Q323" s="40"/>
      <x:c r="R323" s="41" t="str">
        <x:f>IF(OR(P323="",Q323=""),"",P323-Q323)</x:f>
      </x:c>
      <x:c r="S323" s="32"/>
      <x:c r="T323" s="32"/>
      <x:c r="U323" s="32"/>
      <x:c r="V323" s="32"/>
      <x:c r="W323" s="32"/>
      <x:c r="X323" s="32"/>
      <x:c r="Y323" s="43" t="str">
        <x:f>IF(OR(X323="",X323="Pending"),"",IF(X323="Rejected",0,IF(AND(U323="Ya",V323="Ya",W323="Ya"),1,"")))</x:f>
      </x:c>
      <x:c r="AA323" s="32"/>
      <x:c r="AB323" s="32"/>
      <x:c r="AC323" s="32"/>
      <x:c r="AD323" s="32"/>
      <x:c r="AE323" s="32"/>
      <x:c r="AF323" s="32"/>
      <x:c r="AG323" s="33" t="str">
        <x:f>IF(OR(AE323="",AF323=""),"",IF(AE323="Positif",IF(AF323="Positif","TP","FN"),IF(AF323="Positif","FP","TN")))</x:f>
      </x:c>
    </x:row>
    <x:row r="324">
      <x:c r="A324" s="32"/>
      <x:c r="B324" s="32"/>
      <x:c r="C324" s="32"/>
      <x:c r="D324" s="35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7"/>
      <x:c r="O324" s="32"/>
      <x:c r="P324" s="40"/>
      <x:c r="Q324" s="40"/>
      <x:c r="R324" s="41" t="str">
        <x:f>IF(OR(P324="",Q324=""),"",P324-Q324)</x:f>
      </x:c>
      <x:c r="S324" s="32"/>
      <x:c r="T324" s="32"/>
      <x:c r="U324" s="32"/>
      <x:c r="V324" s="32"/>
      <x:c r="W324" s="32"/>
      <x:c r="X324" s="32"/>
      <x:c r="Y324" s="43" t="str">
        <x:f>IF(OR(X324="",X324="Pending"),"",IF(X324="Rejected",0,IF(AND(U324="Ya",V324="Ya",W324="Ya"),1,"")))</x:f>
      </x:c>
      <x:c r="AA324" s="32"/>
      <x:c r="AB324" s="32"/>
      <x:c r="AC324" s="32"/>
      <x:c r="AD324" s="32"/>
      <x:c r="AE324" s="32"/>
      <x:c r="AF324" s="32"/>
      <x:c r="AG324" s="33" t="str">
        <x:f>IF(OR(AE324="",AF324=""),"",IF(AE324="Positif",IF(AF324="Positif","TP","FN"),IF(AF324="Positif","FP","TN")))</x:f>
      </x:c>
    </x:row>
    <x:row r="325">
      <x:c r="A325" s="32"/>
      <x:c r="B325" s="32"/>
      <x:c r="C325" s="32"/>
      <x:c r="D325" s="35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7"/>
      <x:c r="O325" s="32"/>
      <x:c r="P325" s="40"/>
      <x:c r="Q325" s="40"/>
      <x:c r="R325" s="41" t="str">
        <x:f>IF(OR(P325="",Q325=""),"",P325-Q325)</x:f>
      </x:c>
      <x:c r="S325" s="32"/>
      <x:c r="T325" s="32"/>
      <x:c r="U325" s="32"/>
      <x:c r="V325" s="32"/>
      <x:c r="W325" s="32"/>
      <x:c r="X325" s="32"/>
      <x:c r="Y325" s="43" t="str">
        <x:f>IF(OR(X325="",X325="Pending"),"",IF(X325="Rejected",0,IF(AND(U325="Ya",V325="Ya",W325="Ya"),1,"")))</x:f>
      </x:c>
      <x:c r="AA325" s="32"/>
      <x:c r="AB325" s="32"/>
      <x:c r="AC325" s="32"/>
      <x:c r="AD325" s="32"/>
      <x:c r="AE325" s="32"/>
      <x:c r="AF325" s="32"/>
      <x:c r="AG325" s="33" t="str">
        <x:f>IF(OR(AE325="",AF325=""),"",IF(AE325="Positif",IF(AF325="Positif","TP","FN"),IF(AF325="Positif","FP","TN")))</x:f>
      </x:c>
    </x:row>
    <x:row r="326">
      <x:c r="A326" s="32"/>
      <x:c r="B326" s="32"/>
      <x:c r="C326" s="32"/>
      <x:c r="D326" s="35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7"/>
      <x:c r="O326" s="32"/>
      <x:c r="P326" s="40"/>
      <x:c r="Q326" s="40"/>
      <x:c r="R326" s="41" t="str">
        <x:f>IF(OR(P326="",Q326=""),"",P326-Q326)</x:f>
      </x:c>
      <x:c r="S326" s="32"/>
      <x:c r="T326" s="32"/>
      <x:c r="U326" s="32"/>
      <x:c r="V326" s="32"/>
      <x:c r="W326" s="32"/>
      <x:c r="X326" s="32"/>
      <x:c r="Y326" s="43" t="str">
        <x:f>IF(OR(X326="",X326="Pending"),"",IF(X326="Rejected",0,IF(AND(U326="Ya",V326="Ya",W326="Ya"),1,"")))</x:f>
      </x:c>
      <x:c r="AA326" s="32"/>
      <x:c r="AB326" s="32"/>
      <x:c r="AC326" s="32"/>
      <x:c r="AD326" s="32"/>
      <x:c r="AE326" s="32"/>
      <x:c r="AF326" s="32"/>
      <x:c r="AG326" s="33" t="str">
        <x:f>IF(OR(AE326="",AF326=""),"",IF(AE326="Positif",IF(AF326="Positif","TP","FN"),IF(AF326="Positif","FP","TN")))</x:f>
      </x:c>
    </x:row>
    <x:row r="327">
      <x:c r="A327" s="32"/>
      <x:c r="B327" s="32"/>
      <x:c r="C327" s="32"/>
      <x:c r="D327" s="35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7"/>
      <x:c r="O327" s="32"/>
      <x:c r="P327" s="40"/>
      <x:c r="Q327" s="40"/>
      <x:c r="R327" s="41" t="str">
        <x:f>IF(OR(P327="",Q327=""),"",P327-Q327)</x:f>
      </x:c>
      <x:c r="S327" s="32"/>
      <x:c r="T327" s="32"/>
      <x:c r="U327" s="32"/>
      <x:c r="V327" s="32"/>
      <x:c r="W327" s="32"/>
      <x:c r="X327" s="32"/>
      <x:c r="Y327" s="43" t="str">
        <x:f>IF(OR(X327="",X327="Pending"),"",IF(X327="Rejected",0,IF(AND(U327="Ya",V327="Ya",W327="Ya"),1,"")))</x:f>
      </x:c>
      <x:c r="AA327" s="32"/>
      <x:c r="AB327" s="32"/>
      <x:c r="AC327" s="32"/>
      <x:c r="AD327" s="32"/>
      <x:c r="AE327" s="32"/>
      <x:c r="AF327" s="32"/>
      <x:c r="AG327" s="33" t="str">
        <x:f>IF(OR(AE327="",AF327=""),"",IF(AE327="Positif",IF(AF327="Positif","TP","FN"),IF(AF327="Positif","FP","TN")))</x:f>
      </x:c>
    </x:row>
    <x:row r="328">
      <x:c r="A328" s="32"/>
      <x:c r="B328" s="32"/>
      <x:c r="C328" s="32"/>
      <x:c r="D328" s="35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7"/>
      <x:c r="O328" s="32"/>
      <x:c r="P328" s="40"/>
      <x:c r="Q328" s="40"/>
      <x:c r="R328" s="41" t="str">
        <x:f>IF(OR(P328="",Q328=""),"",P328-Q328)</x:f>
      </x:c>
      <x:c r="S328" s="32"/>
      <x:c r="T328" s="32"/>
      <x:c r="U328" s="32"/>
      <x:c r="V328" s="32"/>
      <x:c r="W328" s="32"/>
      <x:c r="X328" s="32"/>
      <x:c r="Y328" s="43" t="str">
        <x:f>IF(OR(X328="",X328="Pending"),"",IF(X328="Rejected",0,IF(AND(U328="Ya",V328="Ya",W328="Ya"),1,"")))</x:f>
      </x:c>
      <x:c r="AA328" s="32"/>
      <x:c r="AB328" s="32"/>
      <x:c r="AC328" s="32"/>
      <x:c r="AD328" s="32"/>
      <x:c r="AE328" s="32"/>
      <x:c r="AF328" s="32"/>
      <x:c r="AG328" s="33" t="str">
        <x:f>IF(OR(AE328="",AF328=""),"",IF(AE328="Positif",IF(AF328="Positif","TP","FN"),IF(AF328="Positif","FP","TN")))</x:f>
      </x:c>
    </x:row>
    <x:row r="329">
      <x:c r="A329" s="32"/>
      <x:c r="B329" s="32"/>
      <x:c r="C329" s="32"/>
      <x:c r="D329" s="35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7"/>
      <x:c r="O329" s="32"/>
      <x:c r="P329" s="40"/>
      <x:c r="Q329" s="40"/>
      <x:c r="R329" s="41" t="str">
        <x:f>IF(OR(P329="",Q329=""),"",P329-Q329)</x:f>
      </x:c>
      <x:c r="S329" s="32"/>
      <x:c r="T329" s="32"/>
      <x:c r="U329" s="32"/>
      <x:c r="V329" s="32"/>
      <x:c r="W329" s="32"/>
      <x:c r="X329" s="32"/>
      <x:c r="Y329" s="43" t="str">
        <x:f>IF(OR(X329="",X329="Pending"),"",IF(X329="Rejected",0,IF(AND(U329="Ya",V329="Ya",W329="Ya"),1,"")))</x:f>
      </x:c>
      <x:c r="AA329" s="32"/>
      <x:c r="AB329" s="32"/>
      <x:c r="AC329" s="32"/>
      <x:c r="AD329" s="32"/>
      <x:c r="AE329" s="32"/>
      <x:c r="AF329" s="32"/>
      <x:c r="AG329" s="33" t="str">
        <x:f>IF(OR(AE329="",AF329=""),"",IF(AE329="Positif",IF(AF329="Positif","TP","FN"),IF(AF329="Positif","FP","TN")))</x:f>
      </x:c>
    </x:row>
    <x:row r="330">
      <x:c r="A330" s="32"/>
      <x:c r="B330" s="32"/>
      <x:c r="C330" s="32"/>
      <x:c r="D330" s="35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7"/>
      <x:c r="O330" s="32"/>
      <x:c r="P330" s="40"/>
      <x:c r="Q330" s="40"/>
      <x:c r="R330" s="41" t="str">
        <x:f>IF(OR(P330="",Q330=""),"",P330-Q330)</x:f>
      </x:c>
      <x:c r="S330" s="32"/>
      <x:c r="T330" s="32"/>
      <x:c r="U330" s="32"/>
      <x:c r="V330" s="32"/>
      <x:c r="W330" s="32"/>
      <x:c r="X330" s="32"/>
      <x:c r="Y330" s="43" t="str">
        <x:f>IF(OR(X330="",X330="Pending"),"",IF(X330="Rejected",0,IF(AND(U330="Ya",V330="Ya",W330="Ya"),1,"")))</x:f>
      </x:c>
      <x:c r="AA330" s="32"/>
      <x:c r="AB330" s="32"/>
      <x:c r="AC330" s="32"/>
      <x:c r="AD330" s="32"/>
      <x:c r="AE330" s="32"/>
      <x:c r="AF330" s="32"/>
      <x:c r="AG330" s="33" t="str">
        <x:f>IF(OR(AE330="",AF330=""),"",IF(AE330="Positif",IF(AF330="Positif","TP","FN"),IF(AF330="Positif","FP","TN")))</x:f>
      </x:c>
    </x:row>
    <x:row r="331">
      <x:c r="A331" s="32"/>
      <x:c r="B331" s="32"/>
      <x:c r="C331" s="32"/>
      <x:c r="D331" s="35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7"/>
      <x:c r="O331" s="32"/>
      <x:c r="P331" s="40"/>
      <x:c r="Q331" s="40"/>
      <x:c r="R331" s="41" t="str">
        <x:f>IF(OR(P331="",Q331=""),"",P331-Q331)</x:f>
      </x:c>
      <x:c r="S331" s="32"/>
      <x:c r="T331" s="32"/>
      <x:c r="U331" s="32"/>
      <x:c r="V331" s="32"/>
      <x:c r="W331" s="32"/>
      <x:c r="X331" s="32"/>
      <x:c r="Y331" s="43" t="str">
        <x:f>IF(OR(X331="",X331="Pending"),"",IF(X331="Rejected",0,IF(AND(U331="Ya",V331="Ya",W331="Ya"),1,"")))</x:f>
      </x:c>
      <x:c r="AA331" s="32"/>
      <x:c r="AB331" s="32"/>
      <x:c r="AC331" s="32"/>
      <x:c r="AD331" s="32"/>
      <x:c r="AE331" s="32"/>
      <x:c r="AF331" s="32"/>
      <x:c r="AG331" s="33" t="str">
        <x:f>IF(OR(AE331="",AF331=""),"",IF(AE331="Positif",IF(AF331="Positif","TP","FN"),IF(AF331="Positif","FP","TN")))</x:f>
      </x:c>
    </x:row>
    <x:row r="332">
      <x:c r="A332" s="32"/>
      <x:c r="B332" s="32"/>
      <x:c r="C332" s="32"/>
      <x:c r="D332" s="35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7"/>
      <x:c r="O332" s="32"/>
      <x:c r="P332" s="40"/>
      <x:c r="Q332" s="40"/>
      <x:c r="R332" s="41" t="str">
        <x:f>IF(OR(P332="",Q332=""),"",P332-Q332)</x:f>
      </x:c>
      <x:c r="S332" s="32"/>
      <x:c r="T332" s="32"/>
      <x:c r="U332" s="32"/>
      <x:c r="V332" s="32"/>
      <x:c r="W332" s="32"/>
      <x:c r="X332" s="32"/>
      <x:c r="Y332" s="43" t="str">
        <x:f>IF(OR(X332="",X332="Pending"),"",IF(X332="Rejected",0,IF(AND(U332="Ya",V332="Ya",W332="Ya"),1,"")))</x:f>
      </x:c>
      <x:c r="AA332" s="32"/>
      <x:c r="AB332" s="32"/>
      <x:c r="AC332" s="32"/>
      <x:c r="AD332" s="32"/>
      <x:c r="AE332" s="32"/>
      <x:c r="AF332" s="32"/>
      <x:c r="AG332" s="33" t="str">
        <x:f>IF(OR(AE332="",AF332=""),"",IF(AE332="Positif",IF(AF332="Positif","TP","FN"),IF(AF332="Positif","FP","TN")))</x:f>
      </x:c>
    </x:row>
    <x:row r="333">
      <x:c r="A333" s="32"/>
      <x:c r="B333" s="32"/>
      <x:c r="C333" s="32"/>
      <x:c r="D333" s="35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7"/>
      <x:c r="O333" s="32"/>
      <x:c r="P333" s="40"/>
      <x:c r="Q333" s="40"/>
      <x:c r="R333" s="41" t="str">
        <x:f>IF(OR(P333="",Q333=""),"",P333-Q333)</x:f>
      </x:c>
      <x:c r="S333" s="32"/>
      <x:c r="T333" s="32"/>
      <x:c r="U333" s="32"/>
      <x:c r="V333" s="32"/>
      <x:c r="W333" s="32"/>
      <x:c r="X333" s="32"/>
      <x:c r="Y333" s="43" t="str">
        <x:f>IF(OR(X333="",X333="Pending"),"",IF(X333="Rejected",0,IF(AND(U333="Ya",V333="Ya",W333="Ya"),1,"")))</x:f>
      </x:c>
      <x:c r="AA333" s="32"/>
      <x:c r="AB333" s="32"/>
      <x:c r="AC333" s="32"/>
      <x:c r="AD333" s="32"/>
      <x:c r="AE333" s="32"/>
      <x:c r="AF333" s="32"/>
      <x:c r="AG333" s="33" t="str">
        <x:f>IF(OR(AE333="",AF333=""),"",IF(AE333="Positif",IF(AF333="Positif","TP","FN"),IF(AF333="Positif","FP","TN")))</x:f>
      </x:c>
    </x:row>
    <x:row r="334">
      <x:c r="A334" s="32"/>
      <x:c r="B334" s="32"/>
      <x:c r="C334" s="32"/>
      <x:c r="D334" s="35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7"/>
      <x:c r="O334" s="32"/>
      <x:c r="P334" s="40"/>
      <x:c r="Q334" s="40"/>
      <x:c r="R334" s="41" t="str">
        <x:f>IF(OR(P334="",Q334=""),"",P334-Q334)</x:f>
      </x:c>
      <x:c r="S334" s="32"/>
      <x:c r="T334" s="32"/>
      <x:c r="U334" s="32"/>
      <x:c r="V334" s="32"/>
      <x:c r="W334" s="32"/>
      <x:c r="X334" s="32"/>
      <x:c r="Y334" s="43" t="str">
        <x:f>IF(OR(X334="",X334="Pending"),"",IF(X334="Rejected",0,IF(AND(U334="Ya",V334="Ya",W334="Ya"),1,"")))</x:f>
      </x:c>
      <x:c r="AA334" s="32"/>
      <x:c r="AB334" s="32"/>
      <x:c r="AC334" s="32"/>
      <x:c r="AD334" s="32"/>
      <x:c r="AE334" s="32"/>
      <x:c r="AF334" s="32"/>
      <x:c r="AG334" s="33" t="str">
        <x:f>IF(OR(AE334="",AF334=""),"",IF(AE334="Positif",IF(AF334="Positif","TP","FN"),IF(AF334="Positif","FP","TN")))</x:f>
      </x:c>
    </x:row>
    <x:row r="335">
      <x:c r="A335" s="32"/>
      <x:c r="B335" s="32"/>
      <x:c r="C335" s="32"/>
      <x:c r="D335" s="35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7"/>
      <x:c r="O335" s="32"/>
      <x:c r="P335" s="40"/>
      <x:c r="Q335" s="40"/>
      <x:c r="R335" s="41" t="str">
        <x:f>IF(OR(P335="",Q335=""),"",P335-Q335)</x:f>
      </x:c>
      <x:c r="S335" s="32"/>
      <x:c r="T335" s="32"/>
      <x:c r="U335" s="32"/>
      <x:c r="V335" s="32"/>
      <x:c r="W335" s="32"/>
      <x:c r="X335" s="32"/>
      <x:c r="Y335" s="43" t="str">
        <x:f>IF(OR(X335="",X335="Pending"),"",IF(X335="Rejected",0,IF(AND(U335="Ya",V335="Ya",W335="Ya"),1,"")))</x:f>
      </x:c>
      <x:c r="AA335" s="32"/>
      <x:c r="AB335" s="32"/>
      <x:c r="AC335" s="32"/>
      <x:c r="AD335" s="32"/>
      <x:c r="AE335" s="32"/>
      <x:c r="AF335" s="32"/>
      <x:c r="AG335" s="33" t="str">
        <x:f>IF(OR(AE335="",AF335=""),"",IF(AE335="Positif",IF(AF335="Positif","TP","FN"),IF(AF335="Positif","FP","TN")))</x:f>
      </x:c>
    </x:row>
    <x:row r="336">
      <x:c r="A336" s="32"/>
      <x:c r="B336" s="32"/>
      <x:c r="C336" s="32"/>
      <x:c r="D336" s="35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7"/>
      <x:c r="O336" s="32"/>
      <x:c r="P336" s="40"/>
      <x:c r="Q336" s="40"/>
      <x:c r="R336" s="41" t="str">
        <x:f>IF(OR(P336="",Q336=""),"",P336-Q336)</x:f>
      </x:c>
      <x:c r="S336" s="32"/>
      <x:c r="T336" s="32"/>
      <x:c r="U336" s="32"/>
      <x:c r="V336" s="32"/>
      <x:c r="W336" s="32"/>
      <x:c r="X336" s="32"/>
      <x:c r="Y336" s="43" t="str">
        <x:f>IF(OR(X336="",X336="Pending"),"",IF(X336="Rejected",0,IF(AND(U336="Ya",V336="Ya",W336="Ya"),1,"")))</x:f>
      </x:c>
      <x:c r="AA336" s="32"/>
      <x:c r="AB336" s="32"/>
      <x:c r="AC336" s="32"/>
      <x:c r="AD336" s="32"/>
      <x:c r="AE336" s="32"/>
      <x:c r="AF336" s="32"/>
      <x:c r="AG336" s="33" t="str">
        <x:f>IF(OR(AE336="",AF336=""),"",IF(AE336="Positif",IF(AF336="Positif","TP","FN"),IF(AF336="Positif","FP","TN")))</x:f>
      </x:c>
    </x:row>
    <x:row r="337">
      <x:c r="A337" s="32"/>
      <x:c r="B337" s="32"/>
      <x:c r="C337" s="32"/>
      <x:c r="D337" s="35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7"/>
      <x:c r="O337" s="32"/>
      <x:c r="P337" s="40"/>
      <x:c r="Q337" s="40"/>
      <x:c r="R337" s="41" t="str">
        <x:f>IF(OR(P337="",Q337=""),"",P337-Q337)</x:f>
      </x:c>
      <x:c r="S337" s="32"/>
      <x:c r="T337" s="32"/>
      <x:c r="U337" s="32"/>
      <x:c r="V337" s="32"/>
      <x:c r="W337" s="32"/>
      <x:c r="X337" s="32"/>
      <x:c r="Y337" s="43" t="str">
        <x:f>IF(OR(X337="",X337="Pending"),"",IF(X337="Rejected",0,IF(AND(U337="Ya",V337="Ya",W337="Ya"),1,"")))</x:f>
      </x:c>
      <x:c r="AA337" s="32"/>
      <x:c r="AB337" s="32"/>
      <x:c r="AC337" s="32"/>
      <x:c r="AD337" s="32"/>
      <x:c r="AE337" s="32"/>
      <x:c r="AF337" s="32"/>
      <x:c r="AG337" s="33" t="str">
        <x:f>IF(OR(AE337="",AF337=""),"",IF(AE337="Positif",IF(AF337="Positif","TP","FN"),IF(AF337="Positif","FP","TN")))</x:f>
      </x:c>
    </x:row>
    <x:row r="338">
      <x:c r="A338" s="32"/>
      <x:c r="B338" s="32"/>
      <x:c r="C338" s="32"/>
      <x:c r="D338" s="35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7"/>
      <x:c r="O338" s="32"/>
      <x:c r="P338" s="40"/>
      <x:c r="Q338" s="40"/>
      <x:c r="R338" s="41" t="str">
        <x:f>IF(OR(P338="",Q338=""),"",P338-Q338)</x:f>
      </x:c>
      <x:c r="S338" s="32"/>
      <x:c r="T338" s="32"/>
      <x:c r="U338" s="32"/>
      <x:c r="V338" s="32"/>
      <x:c r="W338" s="32"/>
      <x:c r="X338" s="32"/>
      <x:c r="Y338" s="43" t="str">
        <x:f>IF(OR(X338="",X338="Pending"),"",IF(X338="Rejected",0,IF(AND(U338="Ya",V338="Ya",W338="Ya"),1,"")))</x:f>
      </x:c>
      <x:c r="AA338" s="32"/>
      <x:c r="AB338" s="32"/>
      <x:c r="AC338" s="32"/>
      <x:c r="AD338" s="32"/>
      <x:c r="AE338" s="32"/>
      <x:c r="AF338" s="32"/>
      <x:c r="AG338" s="33" t="str">
        <x:f>IF(OR(AE338="",AF338=""),"",IF(AE338="Positif",IF(AF338="Positif","TP","FN"),IF(AF338="Positif","FP","TN")))</x:f>
      </x:c>
    </x:row>
    <x:row r="339">
      <x:c r="A339" s="32"/>
      <x:c r="B339" s="32"/>
      <x:c r="C339" s="32"/>
      <x:c r="D339" s="35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7"/>
      <x:c r="O339" s="32"/>
      <x:c r="P339" s="40"/>
      <x:c r="Q339" s="40"/>
      <x:c r="R339" s="41" t="str">
        <x:f>IF(OR(P339="",Q339=""),"",P339-Q339)</x:f>
      </x:c>
      <x:c r="S339" s="32"/>
      <x:c r="T339" s="32"/>
      <x:c r="U339" s="32"/>
      <x:c r="V339" s="32"/>
      <x:c r="W339" s="32"/>
      <x:c r="X339" s="32"/>
      <x:c r="Y339" s="43" t="str">
        <x:f>IF(OR(X339="",X339="Pending"),"",IF(X339="Rejected",0,IF(AND(U339="Ya",V339="Ya",W339="Ya"),1,"")))</x:f>
      </x:c>
      <x:c r="AA339" s="32"/>
      <x:c r="AB339" s="32"/>
      <x:c r="AC339" s="32"/>
      <x:c r="AD339" s="32"/>
      <x:c r="AE339" s="32"/>
      <x:c r="AF339" s="32"/>
      <x:c r="AG339" s="33" t="str">
        <x:f>IF(OR(AE339="",AF339=""),"",IF(AE339="Positif",IF(AF339="Positif","TP","FN"),IF(AF339="Positif","FP","TN")))</x:f>
      </x:c>
    </x:row>
    <x:row r="340">
      <x:c r="A340" s="32"/>
      <x:c r="B340" s="32"/>
      <x:c r="C340" s="32"/>
      <x:c r="D340" s="35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7"/>
      <x:c r="O340" s="32"/>
      <x:c r="P340" s="40"/>
      <x:c r="Q340" s="40"/>
      <x:c r="R340" s="41" t="str">
        <x:f>IF(OR(P340="",Q340=""),"",P340-Q340)</x:f>
      </x:c>
      <x:c r="S340" s="32"/>
      <x:c r="T340" s="32"/>
      <x:c r="U340" s="32"/>
      <x:c r="V340" s="32"/>
      <x:c r="W340" s="32"/>
      <x:c r="X340" s="32"/>
      <x:c r="Y340" s="43" t="str">
        <x:f>IF(OR(X340="",X340="Pending"),"",IF(X340="Rejected",0,IF(AND(U340="Ya",V340="Ya",W340="Ya"),1,"")))</x:f>
      </x:c>
      <x:c r="AA340" s="32"/>
      <x:c r="AB340" s="32"/>
      <x:c r="AC340" s="32"/>
      <x:c r="AD340" s="32"/>
      <x:c r="AE340" s="32"/>
      <x:c r="AF340" s="32"/>
      <x:c r="AG340" s="33" t="str">
        <x:f>IF(OR(AE340="",AF340=""),"",IF(AE340="Positif",IF(AF340="Positif","TP","FN"),IF(AF340="Positif","FP","TN")))</x:f>
      </x:c>
    </x:row>
    <x:row r="341">
      <x:c r="A341" s="32"/>
      <x:c r="B341" s="32"/>
      <x:c r="C341" s="32"/>
      <x:c r="D341" s="35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7"/>
      <x:c r="O341" s="32"/>
      <x:c r="P341" s="40"/>
      <x:c r="Q341" s="40"/>
      <x:c r="R341" s="41" t="str">
        <x:f>IF(OR(P341="",Q341=""),"",P341-Q341)</x:f>
      </x:c>
      <x:c r="S341" s="32"/>
      <x:c r="T341" s="32"/>
      <x:c r="U341" s="32"/>
      <x:c r="V341" s="32"/>
      <x:c r="W341" s="32"/>
      <x:c r="X341" s="32"/>
      <x:c r="Y341" s="43" t="str">
        <x:f>IF(OR(X341="",X341="Pending"),"",IF(X341="Rejected",0,IF(AND(U341="Ya",V341="Ya",W341="Ya"),1,"")))</x:f>
      </x:c>
      <x:c r="AA341" s="32"/>
      <x:c r="AB341" s="32"/>
      <x:c r="AC341" s="32"/>
      <x:c r="AD341" s="32"/>
      <x:c r="AE341" s="32"/>
      <x:c r="AF341" s="32"/>
      <x:c r="AG341" s="33" t="str">
        <x:f>IF(OR(AE341="",AF341=""),"",IF(AE341="Positif",IF(AF341="Positif","TP","FN"),IF(AF341="Positif","FP","TN")))</x:f>
      </x:c>
    </x:row>
    <x:row r="342">
      <x:c r="A342" s="32"/>
      <x:c r="B342" s="32"/>
      <x:c r="C342" s="32"/>
      <x:c r="D342" s="35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7"/>
      <x:c r="O342" s="32"/>
      <x:c r="P342" s="40"/>
      <x:c r="Q342" s="40"/>
      <x:c r="R342" s="41" t="str">
        <x:f>IF(OR(P342="",Q342=""),"",P342-Q342)</x:f>
      </x:c>
      <x:c r="S342" s="32"/>
      <x:c r="T342" s="32"/>
      <x:c r="U342" s="32"/>
      <x:c r="V342" s="32"/>
      <x:c r="W342" s="32"/>
      <x:c r="X342" s="32"/>
      <x:c r="Y342" s="43" t="str">
        <x:f>IF(OR(X342="",X342="Pending"),"",IF(X342="Rejected",0,IF(AND(U342="Ya",V342="Ya",W342="Ya"),1,"")))</x:f>
      </x:c>
      <x:c r="AA342" s="32"/>
      <x:c r="AB342" s="32"/>
      <x:c r="AC342" s="32"/>
      <x:c r="AD342" s="32"/>
      <x:c r="AE342" s="32"/>
      <x:c r="AF342" s="32"/>
      <x:c r="AG342" s="33" t="str">
        <x:f>IF(OR(AE342="",AF342=""),"",IF(AE342="Positif",IF(AF342="Positif","TP","FN"),IF(AF342="Positif","FP","TN")))</x:f>
      </x:c>
    </x:row>
    <x:row r="343">
      <x:c r="A343" s="32"/>
      <x:c r="B343" s="32"/>
      <x:c r="C343" s="32"/>
      <x:c r="D343" s="35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7"/>
      <x:c r="O343" s="32"/>
      <x:c r="P343" s="40"/>
      <x:c r="Q343" s="40"/>
      <x:c r="R343" s="41" t="str">
        <x:f>IF(OR(P343="",Q343=""),"",P343-Q343)</x:f>
      </x:c>
      <x:c r="S343" s="32"/>
      <x:c r="T343" s="32"/>
      <x:c r="U343" s="32"/>
      <x:c r="V343" s="32"/>
      <x:c r="W343" s="32"/>
      <x:c r="X343" s="32"/>
      <x:c r="Y343" s="43" t="str">
        <x:f>IF(OR(X343="",X343="Pending"),"",IF(X343="Rejected",0,IF(AND(U343="Ya",V343="Ya",W343="Ya"),1,"")))</x:f>
      </x:c>
      <x:c r="AA343" s="32"/>
      <x:c r="AB343" s="32"/>
      <x:c r="AC343" s="32"/>
      <x:c r="AD343" s="32"/>
      <x:c r="AE343" s="32"/>
      <x:c r="AF343" s="32"/>
      <x:c r="AG343" s="33" t="str">
        <x:f>IF(OR(AE343="",AF343=""),"",IF(AE343="Positif",IF(AF343="Positif","TP","FN"),IF(AF343="Positif","FP","TN")))</x:f>
      </x:c>
    </x:row>
    <x:row r="344">
      <x:c r="A344" s="32"/>
      <x:c r="B344" s="32"/>
      <x:c r="C344" s="32"/>
      <x:c r="D344" s="35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7"/>
      <x:c r="O344" s="32"/>
      <x:c r="P344" s="40"/>
      <x:c r="Q344" s="40"/>
      <x:c r="R344" s="41" t="str">
        <x:f>IF(OR(P344="",Q344=""),"",P344-Q344)</x:f>
      </x:c>
      <x:c r="S344" s="32"/>
      <x:c r="T344" s="32"/>
      <x:c r="U344" s="32"/>
      <x:c r="V344" s="32"/>
      <x:c r="W344" s="32"/>
      <x:c r="X344" s="32"/>
      <x:c r="Y344" s="43" t="str">
        <x:f>IF(OR(X344="",X344="Pending"),"",IF(X344="Rejected",0,IF(AND(U344="Ya",V344="Ya",W344="Ya"),1,"")))</x:f>
      </x:c>
      <x:c r="AA344" s="32"/>
      <x:c r="AB344" s="32"/>
      <x:c r="AC344" s="32"/>
      <x:c r="AD344" s="32"/>
      <x:c r="AE344" s="32"/>
      <x:c r="AF344" s="32"/>
      <x:c r="AG344" s="33" t="str">
        <x:f>IF(OR(AE344="",AF344=""),"",IF(AE344="Positif",IF(AF344="Positif","TP","FN"),IF(AF344="Positif","FP","TN")))</x:f>
      </x:c>
    </x:row>
    <x:row r="345">
      <x:c r="A345" s="32"/>
      <x:c r="B345" s="32"/>
      <x:c r="C345" s="32"/>
      <x:c r="D345" s="35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7"/>
      <x:c r="O345" s="32"/>
      <x:c r="P345" s="40"/>
      <x:c r="Q345" s="40"/>
      <x:c r="R345" s="41" t="str">
        <x:f>IF(OR(P345="",Q345=""),"",P345-Q345)</x:f>
      </x:c>
      <x:c r="S345" s="32"/>
      <x:c r="T345" s="32"/>
      <x:c r="U345" s="32"/>
      <x:c r="V345" s="32"/>
      <x:c r="W345" s="32"/>
      <x:c r="X345" s="32"/>
      <x:c r="Y345" s="43" t="str">
        <x:f>IF(OR(X345="",X345="Pending"),"",IF(X345="Rejected",0,IF(AND(U345="Ya",V345="Ya",W345="Ya"),1,"")))</x:f>
      </x:c>
      <x:c r="AA345" s="32"/>
      <x:c r="AB345" s="32"/>
      <x:c r="AC345" s="32"/>
      <x:c r="AD345" s="32"/>
      <x:c r="AE345" s="32"/>
      <x:c r="AF345" s="32"/>
      <x:c r="AG345" s="33" t="str">
        <x:f>IF(OR(AE345="",AF345=""),"",IF(AE345="Positif",IF(AF345="Positif","TP","FN"),IF(AF345="Positif","FP","TN")))</x:f>
      </x:c>
    </x:row>
    <x:row r="346">
      <x:c r="A346" s="32"/>
      <x:c r="B346" s="32"/>
      <x:c r="C346" s="32"/>
      <x:c r="D346" s="35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7"/>
      <x:c r="O346" s="32"/>
      <x:c r="P346" s="40"/>
      <x:c r="Q346" s="40"/>
      <x:c r="R346" s="41" t="str">
        <x:f>IF(OR(P346="",Q346=""),"",P346-Q346)</x:f>
      </x:c>
      <x:c r="S346" s="32"/>
      <x:c r="T346" s="32"/>
      <x:c r="U346" s="32"/>
      <x:c r="V346" s="32"/>
      <x:c r="W346" s="32"/>
      <x:c r="X346" s="32"/>
      <x:c r="Y346" s="43" t="str">
        <x:f>IF(OR(X346="",X346="Pending"),"",IF(X346="Rejected",0,IF(AND(U346="Ya",V346="Ya",W346="Ya"),1,"")))</x:f>
      </x:c>
      <x:c r="AA346" s="32"/>
      <x:c r="AB346" s="32"/>
      <x:c r="AC346" s="32"/>
      <x:c r="AD346" s="32"/>
      <x:c r="AE346" s="32"/>
      <x:c r="AF346" s="32"/>
      <x:c r="AG346" s="33" t="str">
        <x:f>IF(OR(AE346="",AF346=""),"",IF(AE346="Positif",IF(AF346="Positif","TP","FN"),IF(AF346="Positif","FP","TN")))</x:f>
      </x:c>
    </x:row>
    <x:row r="347">
      <x:c r="A347" s="32"/>
      <x:c r="B347" s="32"/>
      <x:c r="C347" s="32"/>
      <x:c r="D347" s="35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7"/>
      <x:c r="O347" s="32"/>
      <x:c r="P347" s="40"/>
      <x:c r="Q347" s="40"/>
      <x:c r="R347" s="41" t="str">
        <x:f>IF(OR(P347="",Q347=""),"",P347-Q347)</x:f>
      </x:c>
      <x:c r="S347" s="32"/>
      <x:c r="T347" s="32"/>
      <x:c r="U347" s="32"/>
      <x:c r="V347" s="32"/>
      <x:c r="W347" s="32"/>
      <x:c r="X347" s="32"/>
      <x:c r="Y347" s="43" t="str">
        <x:f>IF(OR(X347="",X347="Pending"),"",IF(X347="Rejected",0,IF(AND(U347="Ya",V347="Ya",W347="Ya"),1,"")))</x:f>
      </x:c>
      <x:c r="AA347" s="32"/>
      <x:c r="AB347" s="32"/>
      <x:c r="AC347" s="32"/>
      <x:c r="AD347" s="32"/>
      <x:c r="AE347" s="32"/>
      <x:c r="AF347" s="32"/>
      <x:c r="AG347" s="33" t="str">
        <x:f>IF(OR(AE347="",AF347=""),"",IF(AE347="Positif",IF(AF347="Positif","TP","FN"),IF(AF347="Positif","FP","TN")))</x:f>
      </x:c>
    </x:row>
    <x:row r="348">
      <x:c r="A348" s="32"/>
      <x:c r="B348" s="32"/>
      <x:c r="C348" s="32"/>
      <x:c r="D348" s="35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7"/>
      <x:c r="O348" s="32"/>
      <x:c r="P348" s="40"/>
      <x:c r="Q348" s="40"/>
      <x:c r="R348" s="41" t="str">
        <x:f>IF(OR(P348="",Q348=""),"",P348-Q348)</x:f>
      </x:c>
      <x:c r="S348" s="32"/>
      <x:c r="T348" s="32"/>
      <x:c r="U348" s="32"/>
      <x:c r="V348" s="32"/>
      <x:c r="W348" s="32"/>
      <x:c r="X348" s="32"/>
      <x:c r="Y348" s="43" t="str">
        <x:f>IF(OR(X348="",X348="Pending"),"",IF(X348="Rejected",0,IF(AND(U348="Ya",V348="Ya",W348="Ya"),1,"")))</x:f>
      </x:c>
      <x:c r="AA348" s="32"/>
      <x:c r="AB348" s="32"/>
      <x:c r="AC348" s="32"/>
      <x:c r="AD348" s="32"/>
      <x:c r="AE348" s="32"/>
      <x:c r="AF348" s="32"/>
      <x:c r="AG348" s="33" t="str">
        <x:f>IF(OR(AE348="",AF348=""),"",IF(AE348="Positif",IF(AF348="Positif","TP","FN"),IF(AF348="Positif","FP","TN")))</x:f>
      </x:c>
    </x:row>
    <x:row r="349">
      <x:c r="A349" s="32"/>
      <x:c r="B349" s="32"/>
      <x:c r="C349" s="32"/>
      <x:c r="D349" s="35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7"/>
      <x:c r="O349" s="32"/>
      <x:c r="P349" s="40"/>
      <x:c r="Q349" s="40"/>
      <x:c r="R349" s="41" t="str">
        <x:f>IF(OR(P349="",Q349=""),"",P349-Q349)</x:f>
      </x:c>
      <x:c r="S349" s="32"/>
      <x:c r="T349" s="32"/>
      <x:c r="U349" s="32"/>
      <x:c r="V349" s="32"/>
      <x:c r="W349" s="32"/>
      <x:c r="X349" s="32"/>
      <x:c r="Y349" s="43" t="str">
        <x:f>IF(OR(X349="",X349="Pending"),"",IF(X349="Rejected",0,IF(AND(U349="Ya",V349="Ya",W349="Ya"),1,"")))</x:f>
      </x:c>
      <x:c r="AA349" s="32"/>
      <x:c r="AB349" s="32"/>
      <x:c r="AC349" s="32"/>
      <x:c r="AD349" s="32"/>
      <x:c r="AE349" s="32"/>
      <x:c r="AF349" s="32"/>
      <x:c r="AG349" s="33" t="str">
        <x:f>IF(OR(AE349="",AF349=""),"",IF(AE349="Positif",IF(AF349="Positif","TP","FN"),IF(AF349="Positif","FP","TN")))</x:f>
      </x:c>
    </x:row>
    <x:row r="350">
      <x:c r="A350" s="32"/>
      <x:c r="B350" s="32"/>
      <x:c r="C350" s="32"/>
      <x:c r="D350" s="35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7"/>
      <x:c r="O350" s="32"/>
      <x:c r="P350" s="40"/>
      <x:c r="Q350" s="40"/>
      <x:c r="R350" s="41" t="str">
        <x:f>IF(OR(P350="",Q350=""),"",P350-Q350)</x:f>
      </x:c>
      <x:c r="S350" s="32"/>
      <x:c r="T350" s="32"/>
      <x:c r="U350" s="32"/>
      <x:c r="V350" s="32"/>
      <x:c r="W350" s="32"/>
      <x:c r="X350" s="32"/>
      <x:c r="Y350" s="43" t="str">
        <x:f>IF(OR(X350="",X350="Pending"),"",IF(X350="Rejected",0,IF(AND(U350="Ya",V350="Ya",W350="Ya"),1,"")))</x:f>
      </x:c>
      <x:c r="AA350" s="32"/>
      <x:c r="AB350" s="32"/>
      <x:c r="AC350" s="32"/>
      <x:c r="AD350" s="32"/>
      <x:c r="AE350" s="32"/>
      <x:c r="AF350" s="32"/>
      <x:c r="AG350" s="33" t="str">
        <x:f>IF(OR(AE350="",AF350=""),"",IF(AE350="Positif",IF(AF350="Positif","TP","FN"),IF(AF350="Positif","FP","TN")))</x:f>
      </x:c>
    </x:row>
    <x:row r="351">
      <x:c r="A351" s="32"/>
      <x:c r="B351" s="32"/>
      <x:c r="C351" s="32"/>
      <x:c r="D351" s="35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7"/>
      <x:c r="O351" s="32"/>
      <x:c r="P351" s="40"/>
      <x:c r="Q351" s="40"/>
      <x:c r="R351" s="41" t="str">
        <x:f>IF(OR(P351="",Q351=""),"",P351-Q351)</x:f>
      </x:c>
      <x:c r="S351" s="32"/>
      <x:c r="T351" s="32"/>
      <x:c r="U351" s="32"/>
      <x:c r="V351" s="32"/>
      <x:c r="W351" s="32"/>
      <x:c r="X351" s="32"/>
      <x:c r="Y351" s="43" t="str">
        <x:f>IF(OR(X351="",X351="Pending"),"",IF(X351="Rejected",0,IF(AND(U351="Ya",V351="Ya",W351="Ya"),1,"")))</x:f>
      </x:c>
      <x:c r="AA351" s="32"/>
      <x:c r="AB351" s="32"/>
      <x:c r="AC351" s="32"/>
      <x:c r="AD351" s="32"/>
      <x:c r="AE351" s="32"/>
      <x:c r="AF351" s="32"/>
      <x:c r="AG351" s="33" t="str">
        <x:f>IF(OR(AE351="",AF351=""),"",IF(AE351="Positif",IF(AF351="Positif","TP","FN"),IF(AF351="Positif","FP","TN")))</x:f>
      </x:c>
    </x:row>
    <x:row r="352">
      <x:c r="A352" s="32"/>
      <x:c r="B352" s="32"/>
      <x:c r="C352" s="32"/>
      <x:c r="D352" s="35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7"/>
      <x:c r="O352" s="32"/>
      <x:c r="P352" s="40"/>
      <x:c r="Q352" s="40"/>
      <x:c r="R352" s="41" t="str">
        <x:f>IF(OR(P352="",Q352=""),"",P352-Q352)</x:f>
      </x:c>
      <x:c r="S352" s="32"/>
      <x:c r="T352" s="32"/>
      <x:c r="U352" s="32"/>
      <x:c r="V352" s="32"/>
      <x:c r="W352" s="32"/>
      <x:c r="X352" s="32"/>
      <x:c r="Y352" s="43" t="str">
        <x:f>IF(OR(X352="",X352="Pending"),"",IF(X352="Rejected",0,IF(AND(U352="Ya",V352="Ya",W352="Ya"),1,"")))</x:f>
      </x:c>
      <x:c r="AA352" s="32"/>
      <x:c r="AB352" s="32"/>
      <x:c r="AC352" s="32"/>
      <x:c r="AD352" s="32"/>
      <x:c r="AE352" s="32"/>
      <x:c r="AF352" s="32"/>
      <x:c r="AG352" s="33" t="str">
        <x:f>IF(OR(AE352="",AF352=""),"",IF(AE352="Positif",IF(AF352="Positif","TP","FN"),IF(AF352="Positif","FP","TN")))</x:f>
      </x:c>
    </x:row>
    <x:row r="353">
      <x:c r="A353" s="32"/>
      <x:c r="B353" s="32"/>
      <x:c r="C353" s="32"/>
      <x:c r="D353" s="35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7"/>
      <x:c r="O353" s="32"/>
      <x:c r="P353" s="40"/>
      <x:c r="Q353" s="40"/>
      <x:c r="R353" s="41" t="str">
        <x:f>IF(OR(P353="",Q353=""),"",P353-Q353)</x:f>
      </x:c>
      <x:c r="S353" s="32"/>
      <x:c r="T353" s="32"/>
      <x:c r="U353" s="32"/>
      <x:c r="V353" s="32"/>
      <x:c r="W353" s="32"/>
      <x:c r="X353" s="32"/>
      <x:c r="Y353" s="43" t="str">
        <x:f>IF(OR(X353="",X353="Pending"),"",IF(X353="Rejected",0,IF(AND(U353="Ya",V353="Ya",W353="Ya"),1,"")))</x:f>
      </x:c>
      <x:c r="AA353" s="32"/>
      <x:c r="AB353" s="32"/>
      <x:c r="AC353" s="32"/>
      <x:c r="AD353" s="32"/>
      <x:c r="AE353" s="32"/>
      <x:c r="AF353" s="32"/>
      <x:c r="AG353" s="33" t="str">
        <x:f>IF(OR(AE353="",AF353=""),"",IF(AE353="Positif",IF(AF353="Positif","TP","FN"),IF(AF353="Positif","FP","TN")))</x:f>
      </x:c>
    </x:row>
    <x:row r="354">
      <x:c r="A354" s="32"/>
      <x:c r="B354" s="32"/>
      <x:c r="C354" s="32"/>
      <x:c r="D354" s="35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7"/>
      <x:c r="O354" s="32"/>
      <x:c r="P354" s="40"/>
      <x:c r="Q354" s="40"/>
      <x:c r="R354" s="41" t="str">
        <x:f>IF(OR(P354="",Q354=""),"",P354-Q354)</x:f>
      </x:c>
      <x:c r="S354" s="32"/>
      <x:c r="T354" s="32"/>
      <x:c r="U354" s="32"/>
      <x:c r="V354" s="32"/>
      <x:c r="W354" s="32"/>
      <x:c r="X354" s="32"/>
      <x:c r="Y354" s="43" t="str">
        <x:f>IF(OR(X354="",X354="Pending"),"",IF(X354="Rejected",0,IF(AND(U354="Ya",V354="Ya",W354="Ya"),1,"")))</x:f>
      </x:c>
      <x:c r="AA354" s="32"/>
      <x:c r="AB354" s="32"/>
      <x:c r="AC354" s="32"/>
      <x:c r="AD354" s="32"/>
      <x:c r="AE354" s="32"/>
      <x:c r="AF354" s="32"/>
      <x:c r="AG354" s="33" t="str">
        <x:f>IF(OR(AE354="",AF354=""),"",IF(AE354="Positif",IF(AF354="Positif","TP","FN"),IF(AF354="Positif","FP","TN")))</x:f>
      </x:c>
    </x:row>
    <x:row r="355">
      <x:c r="A355" s="32"/>
      <x:c r="B355" s="32"/>
      <x:c r="C355" s="32"/>
      <x:c r="D355" s="35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7"/>
      <x:c r="O355" s="32"/>
      <x:c r="P355" s="40"/>
      <x:c r="Q355" s="40"/>
      <x:c r="R355" s="41" t="str">
        <x:f>IF(OR(P355="",Q355=""),"",P355-Q355)</x:f>
      </x:c>
      <x:c r="S355" s="32"/>
      <x:c r="T355" s="32"/>
      <x:c r="U355" s="32"/>
      <x:c r="V355" s="32"/>
      <x:c r="W355" s="32"/>
      <x:c r="X355" s="32"/>
      <x:c r="Y355" s="43" t="str">
        <x:f>IF(OR(X355="",X355="Pending"),"",IF(X355="Rejected",0,IF(AND(U355="Ya",V355="Ya",W355="Ya"),1,"")))</x:f>
      </x:c>
      <x:c r="AA355" s="32"/>
      <x:c r="AB355" s="32"/>
      <x:c r="AC355" s="32"/>
      <x:c r="AD355" s="32"/>
      <x:c r="AE355" s="32"/>
      <x:c r="AF355" s="32"/>
      <x:c r="AG355" s="33" t="str">
        <x:f>IF(OR(AE355="",AF355=""),"",IF(AE355="Positif",IF(AF355="Positif","TP","FN"),IF(AF355="Positif","FP","TN")))</x:f>
      </x:c>
    </x:row>
    <x:row r="356">
      <x:c r="A356" s="32"/>
      <x:c r="B356" s="32"/>
      <x:c r="C356" s="32"/>
      <x:c r="D356" s="35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7"/>
      <x:c r="O356" s="32"/>
      <x:c r="P356" s="40"/>
      <x:c r="Q356" s="40"/>
      <x:c r="R356" s="41" t="str">
        <x:f>IF(OR(P356="",Q356=""),"",P356-Q356)</x:f>
      </x:c>
      <x:c r="S356" s="32"/>
      <x:c r="T356" s="32"/>
      <x:c r="U356" s="32"/>
      <x:c r="V356" s="32"/>
      <x:c r="W356" s="32"/>
      <x:c r="X356" s="32"/>
      <x:c r="Y356" s="43" t="str">
        <x:f>IF(OR(X356="",X356="Pending"),"",IF(X356="Rejected",0,IF(AND(U356="Ya",V356="Ya",W356="Ya"),1,"")))</x:f>
      </x:c>
      <x:c r="AA356" s="32"/>
      <x:c r="AB356" s="32"/>
      <x:c r="AC356" s="32"/>
      <x:c r="AD356" s="32"/>
      <x:c r="AE356" s="32"/>
      <x:c r="AF356" s="32"/>
      <x:c r="AG356" s="33" t="str">
        <x:f>IF(OR(AE356="",AF356=""),"",IF(AE356="Positif",IF(AF356="Positif","TP","FN"),IF(AF356="Positif","FP","TN")))</x:f>
      </x:c>
    </x:row>
    <x:row r="357">
      <x:c r="A357" s="32"/>
      <x:c r="B357" s="32"/>
      <x:c r="C357" s="32"/>
      <x:c r="D357" s="35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7"/>
      <x:c r="O357" s="32"/>
      <x:c r="P357" s="40"/>
      <x:c r="Q357" s="40"/>
      <x:c r="R357" s="41" t="str">
        <x:f>IF(OR(P357="",Q357=""),"",P357-Q357)</x:f>
      </x:c>
      <x:c r="S357" s="32"/>
      <x:c r="T357" s="32"/>
      <x:c r="U357" s="32"/>
      <x:c r="V357" s="32"/>
      <x:c r="W357" s="32"/>
      <x:c r="X357" s="32"/>
      <x:c r="Y357" s="43" t="str">
        <x:f>IF(OR(X357="",X357="Pending"),"",IF(X357="Rejected",0,IF(AND(U357="Ya",V357="Ya",W357="Ya"),1,"")))</x:f>
      </x:c>
      <x:c r="AA357" s="32"/>
      <x:c r="AB357" s="32"/>
      <x:c r="AC357" s="32"/>
      <x:c r="AD357" s="32"/>
      <x:c r="AE357" s="32"/>
      <x:c r="AF357" s="32"/>
      <x:c r="AG357" s="33" t="str">
        <x:f>IF(OR(AE357="",AF357=""),"",IF(AE357="Positif",IF(AF357="Positif","TP","FN"),IF(AF357="Positif","FP","TN")))</x:f>
      </x:c>
    </x:row>
    <x:row r="358">
      <x:c r="A358" s="32"/>
      <x:c r="B358" s="32"/>
      <x:c r="C358" s="32"/>
      <x:c r="D358" s="35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7"/>
      <x:c r="O358" s="32"/>
      <x:c r="P358" s="40"/>
      <x:c r="Q358" s="40"/>
      <x:c r="R358" s="41" t="str">
        <x:f>IF(OR(P358="",Q358=""),"",P358-Q358)</x:f>
      </x:c>
      <x:c r="S358" s="32"/>
      <x:c r="T358" s="32"/>
      <x:c r="U358" s="32"/>
      <x:c r="V358" s="32"/>
      <x:c r="W358" s="32"/>
      <x:c r="X358" s="32"/>
      <x:c r="Y358" s="43" t="str">
        <x:f>IF(OR(X358="",X358="Pending"),"",IF(X358="Rejected",0,IF(AND(U358="Ya",V358="Ya",W358="Ya"),1,"")))</x:f>
      </x:c>
      <x:c r="AA358" s="32"/>
      <x:c r="AB358" s="32"/>
      <x:c r="AC358" s="32"/>
      <x:c r="AD358" s="32"/>
      <x:c r="AE358" s="32"/>
      <x:c r="AF358" s="32"/>
      <x:c r="AG358" s="33" t="str">
        <x:f>IF(OR(AE358="",AF358=""),"",IF(AE358="Positif",IF(AF358="Positif","TP","FN"),IF(AF358="Positif","FP","TN")))</x:f>
      </x:c>
    </x:row>
    <x:row r="359">
      <x:c r="A359" s="32"/>
      <x:c r="B359" s="32"/>
      <x:c r="C359" s="32"/>
      <x:c r="D359" s="35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7"/>
      <x:c r="O359" s="32"/>
      <x:c r="P359" s="40"/>
      <x:c r="Q359" s="40"/>
      <x:c r="R359" s="41" t="str">
        <x:f>IF(OR(P359="",Q359=""),"",P359-Q359)</x:f>
      </x:c>
      <x:c r="S359" s="32"/>
      <x:c r="T359" s="32"/>
      <x:c r="U359" s="32"/>
      <x:c r="V359" s="32"/>
      <x:c r="W359" s="32"/>
      <x:c r="X359" s="32"/>
      <x:c r="Y359" s="43" t="str">
        <x:f>IF(OR(X359="",X359="Pending"),"",IF(X359="Rejected",0,IF(AND(U359="Ya",V359="Ya",W359="Ya"),1,"")))</x:f>
      </x:c>
      <x:c r="AA359" s="32"/>
      <x:c r="AB359" s="32"/>
      <x:c r="AC359" s="32"/>
      <x:c r="AD359" s="32"/>
      <x:c r="AE359" s="32"/>
      <x:c r="AF359" s="32"/>
      <x:c r="AG359" s="33" t="str">
        <x:f>IF(OR(AE359="",AF359=""),"",IF(AE359="Positif",IF(AF359="Positif","TP","FN"),IF(AF359="Positif","FP","TN")))</x:f>
      </x:c>
    </x:row>
    <x:row r="360">
      <x:c r="A360" s="32"/>
      <x:c r="B360" s="32"/>
      <x:c r="C360" s="32"/>
      <x:c r="D360" s="35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7"/>
      <x:c r="O360" s="32"/>
      <x:c r="P360" s="40"/>
      <x:c r="Q360" s="40"/>
      <x:c r="R360" s="41" t="str">
        <x:f>IF(OR(P360="",Q360=""),"",P360-Q360)</x:f>
      </x:c>
      <x:c r="S360" s="32"/>
      <x:c r="T360" s="32"/>
      <x:c r="U360" s="32"/>
      <x:c r="V360" s="32"/>
      <x:c r="W360" s="32"/>
      <x:c r="X360" s="32"/>
      <x:c r="Y360" s="43" t="str">
        <x:f>IF(OR(X360="",X360="Pending"),"",IF(X360="Rejected",0,IF(AND(U360="Ya",V360="Ya",W360="Ya"),1,"")))</x:f>
      </x:c>
      <x:c r="AA360" s="32"/>
      <x:c r="AB360" s="32"/>
      <x:c r="AC360" s="32"/>
      <x:c r="AD360" s="32"/>
      <x:c r="AE360" s="32"/>
      <x:c r="AF360" s="32"/>
      <x:c r="AG360" s="33" t="str">
        <x:f>IF(OR(AE360="",AF360=""),"",IF(AE360="Positif",IF(AF360="Positif","TP","FN"),IF(AF360="Positif","FP","TN")))</x:f>
      </x:c>
    </x:row>
    <x:row r="361">
      <x:c r="A361" s="32"/>
      <x:c r="B361" s="32"/>
      <x:c r="C361" s="32"/>
      <x:c r="D361" s="35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7"/>
      <x:c r="O361" s="32"/>
      <x:c r="P361" s="40"/>
      <x:c r="Q361" s="40"/>
      <x:c r="R361" s="41" t="str">
        <x:f>IF(OR(P361="",Q361=""),"",P361-Q361)</x:f>
      </x:c>
      <x:c r="S361" s="32"/>
      <x:c r="T361" s="32"/>
      <x:c r="U361" s="32"/>
      <x:c r="V361" s="32"/>
      <x:c r="W361" s="32"/>
      <x:c r="X361" s="32"/>
      <x:c r="Y361" s="43" t="str">
        <x:f>IF(OR(X361="",X361="Pending"),"",IF(X361="Rejected",0,IF(AND(U361="Ya",V361="Ya",W361="Ya"),1,"")))</x:f>
      </x:c>
      <x:c r="AA361" s="32"/>
      <x:c r="AB361" s="32"/>
      <x:c r="AC361" s="32"/>
      <x:c r="AD361" s="32"/>
      <x:c r="AE361" s="32"/>
      <x:c r="AF361" s="32"/>
      <x:c r="AG361" s="33" t="str">
        <x:f>IF(OR(AE361="",AF361=""),"",IF(AE361="Positif",IF(AF361="Positif","TP","FN"),IF(AF361="Positif","FP","TN")))</x:f>
      </x:c>
    </x:row>
    <x:row r="362">
      <x:c r="A362" s="32"/>
      <x:c r="B362" s="32"/>
      <x:c r="C362" s="32"/>
      <x:c r="D362" s="35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7"/>
      <x:c r="O362" s="32"/>
      <x:c r="P362" s="40"/>
      <x:c r="Q362" s="40"/>
      <x:c r="R362" s="41" t="str">
        <x:f>IF(OR(P362="",Q362=""),"",P362-Q362)</x:f>
      </x:c>
      <x:c r="S362" s="32"/>
      <x:c r="T362" s="32"/>
      <x:c r="U362" s="32"/>
      <x:c r="V362" s="32"/>
      <x:c r="W362" s="32"/>
      <x:c r="X362" s="32"/>
      <x:c r="Y362" s="43" t="str">
        <x:f>IF(OR(X362="",X362="Pending"),"",IF(X362="Rejected",0,IF(AND(U362="Ya",V362="Ya",W362="Ya"),1,"")))</x:f>
      </x:c>
      <x:c r="AA362" s="32"/>
      <x:c r="AB362" s="32"/>
      <x:c r="AC362" s="32"/>
      <x:c r="AD362" s="32"/>
      <x:c r="AE362" s="32"/>
      <x:c r="AF362" s="32"/>
      <x:c r="AG362" s="33" t="str">
        <x:f>IF(OR(AE362="",AF362=""),"",IF(AE362="Positif",IF(AF362="Positif","TP","FN"),IF(AF362="Positif","FP","TN")))</x:f>
      </x:c>
    </x:row>
    <x:row r="363">
      <x:c r="A363" s="32"/>
      <x:c r="B363" s="32"/>
      <x:c r="C363" s="32"/>
      <x:c r="D363" s="35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7"/>
      <x:c r="O363" s="32"/>
      <x:c r="P363" s="40"/>
      <x:c r="Q363" s="40"/>
      <x:c r="R363" s="41" t="str">
        <x:f>IF(OR(P363="",Q363=""),"",P363-Q363)</x:f>
      </x:c>
      <x:c r="S363" s="32"/>
      <x:c r="T363" s="32"/>
      <x:c r="U363" s="32"/>
      <x:c r="V363" s="32"/>
      <x:c r="W363" s="32"/>
      <x:c r="X363" s="32"/>
      <x:c r="Y363" s="43" t="str">
        <x:f>IF(OR(X363="",X363="Pending"),"",IF(X363="Rejected",0,IF(AND(U363="Ya",V363="Ya",W363="Ya"),1,"")))</x:f>
      </x:c>
      <x:c r="AA363" s="32"/>
      <x:c r="AB363" s="32"/>
      <x:c r="AC363" s="32"/>
      <x:c r="AD363" s="32"/>
      <x:c r="AE363" s="32"/>
      <x:c r="AF363" s="32"/>
      <x:c r="AG363" s="33" t="str">
        <x:f>IF(OR(AE363="",AF363=""),"",IF(AE363="Positif",IF(AF363="Positif","TP","FN"),IF(AF363="Positif","FP","TN")))</x:f>
      </x:c>
    </x:row>
    <x:row r="364">
      <x:c r="A364" s="32"/>
      <x:c r="B364" s="32"/>
      <x:c r="C364" s="32"/>
      <x:c r="D364" s="35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7"/>
      <x:c r="O364" s="32"/>
      <x:c r="P364" s="40"/>
      <x:c r="Q364" s="40"/>
      <x:c r="R364" s="41" t="str">
        <x:f>IF(OR(P364="",Q364=""),"",P364-Q364)</x:f>
      </x:c>
      <x:c r="S364" s="32"/>
      <x:c r="T364" s="32"/>
      <x:c r="U364" s="32"/>
      <x:c r="V364" s="32"/>
      <x:c r="W364" s="32"/>
      <x:c r="X364" s="32"/>
      <x:c r="Y364" s="43" t="str">
        <x:f>IF(OR(X364="",X364="Pending"),"",IF(X364="Rejected",0,IF(AND(U364="Ya",V364="Ya",W364="Ya"),1,"")))</x:f>
      </x:c>
      <x:c r="AA364" s="32"/>
      <x:c r="AB364" s="32"/>
      <x:c r="AC364" s="32"/>
      <x:c r="AD364" s="32"/>
      <x:c r="AE364" s="32"/>
      <x:c r="AF364" s="32"/>
      <x:c r="AG364" s="33" t="str">
        <x:f>IF(OR(AE364="",AF364=""),"",IF(AE364="Positif",IF(AF364="Positif","TP","FN"),IF(AF364="Positif","FP","TN")))</x:f>
      </x:c>
    </x:row>
    <x:row r="365">
      <x:c r="A365" s="32"/>
      <x:c r="B365" s="32"/>
      <x:c r="C365" s="32"/>
      <x:c r="D365" s="35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7"/>
      <x:c r="O365" s="32"/>
      <x:c r="P365" s="40"/>
      <x:c r="Q365" s="40"/>
      <x:c r="R365" s="41" t="str">
        <x:f>IF(OR(P365="",Q365=""),"",P365-Q365)</x:f>
      </x:c>
      <x:c r="S365" s="32"/>
      <x:c r="T365" s="32"/>
      <x:c r="U365" s="32"/>
      <x:c r="V365" s="32"/>
      <x:c r="W365" s="32"/>
      <x:c r="X365" s="32"/>
      <x:c r="Y365" s="43" t="str">
        <x:f>IF(OR(X365="",X365="Pending"),"",IF(X365="Rejected",0,IF(AND(U365="Ya",V365="Ya",W365="Ya"),1,"")))</x:f>
      </x:c>
      <x:c r="AA365" s="32"/>
      <x:c r="AB365" s="32"/>
      <x:c r="AC365" s="32"/>
      <x:c r="AD365" s="32"/>
      <x:c r="AE365" s="32"/>
      <x:c r="AF365" s="32"/>
      <x:c r="AG365" s="33" t="str">
        <x:f>IF(OR(AE365="",AF365=""),"",IF(AE365="Positif",IF(AF365="Positif","TP","FN"),IF(AF365="Positif","FP","TN")))</x:f>
      </x:c>
    </x:row>
    <x:row r="366">
      <x:c r="A366" s="32"/>
      <x:c r="B366" s="32"/>
      <x:c r="C366" s="32"/>
      <x:c r="D366" s="35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7"/>
      <x:c r="O366" s="32"/>
      <x:c r="P366" s="40"/>
      <x:c r="Q366" s="40"/>
      <x:c r="R366" s="41" t="str">
        <x:f>IF(OR(P366="",Q366=""),"",P366-Q366)</x:f>
      </x:c>
      <x:c r="S366" s="32"/>
      <x:c r="T366" s="32"/>
      <x:c r="U366" s="32"/>
      <x:c r="V366" s="32"/>
      <x:c r="W366" s="32"/>
      <x:c r="X366" s="32"/>
      <x:c r="Y366" s="43" t="str">
        <x:f>IF(OR(X366="",X366="Pending"),"",IF(X366="Rejected",0,IF(AND(U366="Ya",V366="Ya",W366="Ya"),1,"")))</x:f>
      </x:c>
      <x:c r="AA366" s="32"/>
      <x:c r="AB366" s="32"/>
      <x:c r="AC366" s="32"/>
      <x:c r="AD366" s="32"/>
      <x:c r="AE366" s="32"/>
      <x:c r="AF366" s="32"/>
      <x:c r="AG366" s="33" t="str">
        <x:f>IF(OR(AE366="",AF366=""),"",IF(AE366="Positif",IF(AF366="Positif","TP","FN"),IF(AF366="Positif","FP","TN")))</x:f>
      </x:c>
    </x:row>
    <x:row r="367">
      <x:c r="A367" s="32"/>
      <x:c r="B367" s="32"/>
      <x:c r="C367" s="32"/>
      <x:c r="D367" s="35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7"/>
      <x:c r="O367" s="32"/>
      <x:c r="P367" s="40"/>
      <x:c r="Q367" s="40"/>
      <x:c r="R367" s="41" t="str">
        <x:f>IF(OR(P367="",Q367=""),"",P367-Q367)</x:f>
      </x:c>
      <x:c r="S367" s="32"/>
      <x:c r="T367" s="32"/>
      <x:c r="U367" s="32"/>
      <x:c r="V367" s="32"/>
      <x:c r="W367" s="32"/>
      <x:c r="X367" s="32"/>
      <x:c r="Y367" s="43" t="str">
        <x:f>IF(OR(X367="",X367="Pending"),"",IF(X367="Rejected",0,IF(AND(U367="Ya",V367="Ya",W367="Ya"),1,"")))</x:f>
      </x:c>
      <x:c r="AA367" s="32"/>
      <x:c r="AB367" s="32"/>
      <x:c r="AC367" s="32"/>
      <x:c r="AD367" s="32"/>
      <x:c r="AE367" s="32"/>
      <x:c r="AF367" s="32"/>
      <x:c r="AG367" s="33" t="str">
        <x:f>IF(OR(AE367="",AF367=""),"",IF(AE367="Positif",IF(AF367="Positif","TP","FN"),IF(AF367="Positif","FP","TN")))</x:f>
      </x:c>
    </x:row>
    <x:row r="368">
      <x:c r="A368" s="32"/>
      <x:c r="B368" s="32"/>
      <x:c r="C368" s="32"/>
      <x:c r="D368" s="35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7"/>
      <x:c r="O368" s="32"/>
      <x:c r="P368" s="40"/>
      <x:c r="Q368" s="40"/>
      <x:c r="R368" s="41" t="str">
        <x:f>IF(OR(P368="",Q368=""),"",P368-Q368)</x:f>
      </x:c>
      <x:c r="S368" s="32"/>
      <x:c r="T368" s="32"/>
      <x:c r="U368" s="32"/>
      <x:c r="V368" s="32"/>
      <x:c r="W368" s="32"/>
      <x:c r="X368" s="32"/>
      <x:c r="Y368" s="43" t="str">
        <x:f>IF(OR(X368="",X368="Pending"),"",IF(X368="Rejected",0,IF(AND(U368="Ya",V368="Ya",W368="Ya"),1,"")))</x:f>
      </x:c>
      <x:c r="AA368" s="32"/>
      <x:c r="AB368" s="32"/>
      <x:c r="AC368" s="32"/>
      <x:c r="AD368" s="32"/>
      <x:c r="AE368" s="32"/>
      <x:c r="AF368" s="32"/>
      <x:c r="AG368" s="33" t="str">
        <x:f>IF(OR(AE368="",AF368=""),"",IF(AE368="Positif",IF(AF368="Positif","TP","FN"),IF(AF368="Positif","FP","TN")))</x:f>
      </x:c>
    </x:row>
    <x:row r="369">
      <x:c r="A369" s="32"/>
      <x:c r="B369" s="32"/>
      <x:c r="C369" s="32"/>
      <x:c r="D369" s="35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7"/>
      <x:c r="O369" s="32"/>
      <x:c r="P369" s="40"/>
      <x:c r="Q369" s="40"/>
      <x:c r="R369" s="41" t="str">
        <x:f>IF(OR(P369="",Q369=""),"",P369-Q369)</x:f>
      </x:c>
      <x:c r="S369" s="32"/>
      <x:c r="T369" s="32"/>
      <x:c r="U369" s="32"/>
      <x:c r="V369" s="32"/>
      <x:c r="W369" s="32"/>
      <x:c r="X369" s="32"/>
      <x:c r="Y369" s="43" t="str">
        <x:f>IF(OR(X369="",X369="Pending"),"",IF(X369="Rejected",0,IF(AND(U369="Ya",V369="Ya",W369="Ya"),1,"")))</x:f>
      </x:c>
      <x:c r="AA369" s="32"/>
      <x:c r="AB369" s="32"/>
      <x:c r="AC369" s="32"/>
      <x:c r="AD369" s="32"/>
      <x:c r="AE369" s="32"/>
      <x:c r="AF369" s="32"/>
      <x:c r="AG369" s="33" t="str">
        <x:f>IF(OR(AE369="",AF369=""),"",IF(AE369="Positif",IF(AF369="Positif","TP","FN"),IF(AF369="Positif","FP","TN")))</x:f>
      </x:c>
    </x:row>
    <x:row r="370">
      <x:c r="A370" s="32"/>
      <x:c r="B370" s="32"/>
      <x:c r="C370" s="32"/>
      <x:c r="D370" s="35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7"/>
      <x:c r="O370" s="32"/>
      <x:c r="P370" s="40"/>
      <x:c r="Q370" s="40"/>
      <x:c r="R370" s="41" t="str">
        <x:f>IF(OR(P370="",Q370=""),"",P370-Q370)</x:f>
      </x:c>
      <x:c r="S370" s="32"/>
      <x:c r="T370" s="32"/>
      <x:c r="U370" s="32"/>
      <x:c r="V370" s="32"/>
      <x:c r="W370" s="32"/>
      <x:c r="X370" s="32"/>
      <x:c r="Y370" s="43" t="str">
        <x:f>IF(OR(X370="",X370="Pending"),"",IF(X370="Rejected",0,IF(AND(U370="Ya",V370="Ya",W370="Ya"),1,"")))</x:f>
      </x:c>
      <x:c r="AA370" s="32"/>
      <x:c r="AB370" s="32"/>
      <x:c r="AC370" s="32"/>
      <x:c r="AD370" s="32"/>
      <x:c r="AE370" s="32"/>
      <x:c r="AF370" s="32"/>
      <x:c r="AG370" s="33" t="str">
        <x:f>IF(OR(AE370="",AF370=""),"",IF(AE370="Positif",IF(AF370="Positif","TP","FN"),IF(AF370="Positif","FP","TN")))</x:f>
      </x:c>
    </x:row>
    <x:row r="371">
      <x:c r="A371" s="32"/>
      <x:c r="B371" s="32"/>
      <x:c r="C371" s="32"/>
      <x:c r="D371" s="35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7"/>
      <x:c r="O371" s="32"/>
      <x:c r="P371" s="40"/>
      <x:c r="Q371" s="40"/>
      <x:c r="R371" s="41" t="str">
        <x:f>IF(OR(P371="",Q371=""),"",P371-Q371)</x:f>
      </x:c>
      <x:c r="S371" s="32"/>
      <x:c r="T371" s="32"/>
      <x:c r="U371" s="32"/>
      <x:c r="V371" s="32"/>
      <x:c r="W371" s="32"/>
      <x:c r="X371" s="32"/>
      <x:c r="Y371" s="43" t="str">
        <x:f>IF(OR(X371="",X371="Pending"),"",IF(X371="Rejected",0,IF(AND(U371="Ya",V371="Ya",W371="Ya"),1,"")))</x:f>
      </x:c>
      <x:c r="AA371" s="32"/>
      <x:c r="AB371" s="32"/>
      <x:c r="AC371" s="32"/>
      <x:c r="AD371" s="32"/>
      <x:c r="AE371" s="32"/>
      <x:c r="AF371" s="32"/>
      <x:c r="AG371" s="33" t="str">
        <x:f>IF(OR(AE371="",AF371=""),"",IF(AE371="Positif",IF(AF371="Positif","TP","FN"),IF(AF371="Positif","FP","TN")))</x:f>
      </x:c>
    </x:row>
    <x:row r="372">
      <x:c r="A372" s="32"/>
      <x:c r="B372" s="32"/>
      <x:c r="C372" s="32"/>
      <x:c r="D372" s="35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7"/>
      <x:c r="O372" s="32"/>
      <x:c r="P372" s="40"/>
      <x:c r="Q372" s="40"/>
      <x:c r="R372" s="41" t="str">
        <x:f>IF(OR(P372="",Q372=""),"",P372-Q372)</x:f>
      </x:c>
      <x:c r="S372" s="32"/>
      <x:c r="T372" s="32"/>
      <x:c r="U372" s="32"/>
      <x:c r="V372" s="32"/>
      <x:c r="W372" s="32"/>
      <x:c r="X372" s="32"/>
      <x:c r="Y372" s="43" t="str">
        <x:f>IF(OR(X372="",X372="Pending"),"",IF(X372="Rejected",0,IF(AND(U372="Ya",V372="Ya",W372="Ya"),1,"")))</x:f>
      </x:c>
      <x:c r="AA372" s="32"/>
      <x:c r="AB372" s="32"/>
      <x:c r="AC372" s="32"/>
      <x:c r="AD372" s="32"/>
      <x:c r="AE372" s="32"/>
      <x:c r="AF372" s="32"/>
      <x:c r="AG372" s="33" t="str">
        <x:f>IF(OR(AE372="",AF372=""),"",IF(AE372="Positif",IF(AF372="Positif","TP","FN"),IF(AF372="Positif","FP","TN")))</x:f>
      </x:c>
    </x:row>
    <x:row r="373">
      <x:c r="A373" s="32"/>
      <x:c r="B373" s="32"/>
      <x:c r="C373" s="32"/>
      <x:c r="D373" s="35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7"/>
      <x:c r="O373" s="32"/>
      <x:c r="P373" s="40"/>
      <x:c r="Q373" s="40"/>
      <x:c r="R373" s="41" t="str">
        <x:f>IF(OR(P373="",Q373=""),"",P373-Q373)</x:f>
      </x:c>
      <x:c r="S373" s="32"/>
      <x:c r="T373" s="32"/>
      <x:c r="U373" s="32"/>
      <x:c r="V373" s="32"/>
      <x:c r="W373" s="32"/>
      <x:c r="X373" s="32"/>
      <x:c r="Y373" s="43" t="str">
        <x:f>IF(OR(X373="",X373="Pending"),"",IF(X373="Rejected",0,IF(AND(U373="Ya",V373="Ya",W373="Ya"),1,"")))</x:f>
      </x:c>
      <x:c r="AA373" s="32"/>
      <x:c r="AB373" s="32"/>
      <x:c r="AC373" s="32"/>
      <x:c r="AD373" s="32"/>
      <x:c r="AE373" s="32"/>
      <x:c r="AF373" s="32"/>
      <x:c r="AG373" s="33" t="str">
        <x:f>IF(OR(AE373="",AF373=""),"",IF(AE373="Positif",IF(AF373="Positif","TP","FN"),IF(AF373="Positif","FP","TN")))</x:f>
      </x:c>
    </x:row>
    <x:row r="374">
      <x:c r="A374" s="32"/>
      <x:c r="B374" s="32"/>
      <x:c r="C374" s="32"/>
      <x:c r="D374" s="35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7"/>
      <x:c r="O374" s="32"/>
      <x:c r="P374" s="40"/>
      <x:c r="Q374" s="40"/>
      <x:c r="R374" s="41" t="str">
        <x:f>IF(OR(P374="",Q374=""),"",P374-Q374)</x:f>
      </x:c>
      <x:c r="S374" s="32"/>
      <x:c r="T374" s="32"/>
      <x:c r="U374" s="32"/>
      <x:c r="V374" s="32"/>
      <x:c r="W374" s="32"/>
      <x:c r="X374" s="32"/>
      <x:c r="Y374" s="43" t="str">
        <x:f>IF(OR(X374="",X374="Pending"),"",IF(X374="Rejected",0,IF(AND(U374="Ya",V374="Ya",W374="Ya"),1,"")))</x:f>
      </x:c>
      <x:c r="AA374" s="32"/>
      <x:c r="AB374" s="32"/>
      <x:c r="AC374" s="32"/>
      <x:c r="AD374" s="32"/>
      <x:c r="AE374" s="32"/>
      <x:c r="AF374" s="32"/>
      <x:c r="AG374" s="33" t="str">
        <x:f>IF(OR(AE374="",AF374=""),"",IF(AE374="Positif",IF(AF374="Positif","TP","FN"),IF(AF374="Positif","FP","TN")))</x:f>
      </x:c>
    </x:row>
    <x:row r="375">
      <x:c r="A375" s="32"/>
      <x:c r="B375" s="32"/>
      <x:c r="C375" s="32"/>
      <x:c r="D375" s="35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7"/>
      <x:c r="O375" s="32"/>
      <x:c r="P375" s="40"/>
      <x:c r="Q375" s="40"/>
      <x:c r="R375" s="41" t="str">
        <x:f>IF(OR(P375="",Q375=""),"",P375-Q375)</x:f>
      </x:c>
      <x:c r="S375" s="32"/>
      <x:c r="T375" s="32"/>
      <x:c r="U375" s="32"/>
      <x:c r="V375" s="32"/>
      <x:c r="W375" s="32"/>
      <x:c r="X375" s="32"/>
      <x:c r="Y375" s="43" t="str">
        <x:f>IF(OR(X375="",X375="Pending"),"",IF(X375="Rejected",0,IF(AND(U375="Ya",V375="Ya",W375="Ya"),1,"")))</x:f>
      </x:c>
      <x:c r="AA375" s="32"/>
      <x:c r="AB375" s="32"/>
      <x:c r="AC375" s="32"/>
      <x:c r="AD375" s="32"/>
      <x:c r="AE375" s="32"/>
      <x:c r="AF375" s="32"/>
      <x:c r="AG375" s="33" t="str">
        <x:f>IF(OR(AE375="",AF375=""),"",IF(AE375="Positif",IF(AF375="Positif","TP","FN"),IF(AF375="Positif","FP","TN")))</x:f>
      </x:c>
    </x:row>
    <x:row r="376">
      <x:c r="A376" s="32"/>
      <x:c r="B376" s="32"/>
      <x:c r="C376" s="32"/>
      <x:c r="D376" s="35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7"/>
      <x:c r="O376" s="32"/>
      <x:c r="P376" s="40"/>
      <x:c r="Q376" s="40"/>
      <x:c r="R376" s="41" t="str">
        <x:f>IF(OR(P376="",Q376=""),"",P376-Q376)</x:f>
      </x:c>
      <x:c r="S376" s="32"/>
      <x:c r="T376" s="32"/>
      <x:c r="U376" s="32"/>
      <x:c r="V376" s="32"/>
      <x:c r="W376" s="32"/>
      <x:c r="X376" s="32"/>
      <x:c r="Y376" s="43" t="str">
        <x:f>IF(OR(X376="",X376="Pending"),"",IF(X376="Rejected",0,IF(AND(U376="Ya",V376="Ya",W376="Ya"),1,"")))</x:f>
      </x:c>
      <x:c r="AA376" s="32"/>
      <x:c r="AB376" s="32"/>
      <x:c r="AC376" s="32"/>
      <x:c r="AD376" s="32"/>
      <x:c r="AE376" s="32"/>
      <x:c r="AF376" s="32"/>
      <x:c r="AG376" s="33" t="str">
        <x:f>IF(OR(AE376="",AF376=""),"",IF(AE376="Positif",IF(AF376="Positif","TP","FN"),IF(AF376="Positif","FP","TN")))</x:f>
      </x:c>
    </x:row>
    <x:row r="377">
      <x:c r="A377" s="32"/>
      <x:c r="B377" s="32"/>
      <x:c r="C377" s="32"/>
      <x:c r="D377" s="35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7"/>
      <x:c r="O377" s="32"/>
      <x:c r="P377" s="40"/>
      <x:c r="Q377" s="40"/>
      <x:c r="R377" s="41" t="str">
        <x:f>IF(OR(P377="",Q377=""),"",P377-Q377)</x:f>
      </x:c>
      <x:c r="S377" s="32"/>
      <x:c r="T377" s="32"/>
      <x:c r="U377" s="32"/>
      <x:c r="V377" s="32"/>
      <x:c r="W377" s="32"/>
      <x:c r="X377" s="32"/>
      <x:c r="Y377" s="43" t="str">
        <x:f>IF(OR(X377="",X377="Pending"),"",IF(X377="Rejected",0,IF(AND(U377="Ya",V377="Ya",W377="Ya"),1,"")))</x:f>
      </x:c>
      <x:c r="AA377" s="32"/>
      <x:c r="AB377" s="32"/>
      <x:c r="AC377" s="32"/>
      <x:c r="AD377" s="32"/>
      <x:c r="AE377" s="32"/>
      <x:c r="AF377" s="32"/>
      <x:c r="AG377" s="33" t="str">
        <x:f>IF(OR(AE377="",AF377=""),"",IF(AE377="Positif",IF(AF377="Positif","TP","FN"),IF(AF377="Positif","FP","TN")))</x:f>
      </x:c>
    </x:row>
    <x:row r="378">
      <x:c r="A378" s="32"/>
      <x:c r="B378" s="32"/>
      <x:c r="C378" s="32"/>
      <x:c r="D378" s="35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7"/>
      <x:c r="O378" s="32"/>
      <x:c r="P378" s="40"/>
      <x:c r="Q378" s="40"/>
      <x:c r="R378" s="41" t="str">
        <x:f>IF(OR(P378="",Q378=""),"",P378-Q378)</x:f>
      </x:c>
      <x:c r="S378" s="32"/>
      <x:c r="T378" s="32"/>
      <x:c r="U378" s="32"/>
      <x:c r="V378" s="32"/>
      <x:c r="W378" s="32"/>
      <x:c r="X378" s="32"/>
      <x:c r="Y378" s="43" t="str">
        <x:f>IF(OR(X378="",X378="Pending"),"",IF(X378="Rejected",0,IF(AND(U378="Ya",V378="Ya",W378="Ya"),1,"")))</x:f>
      </x:c>
      <x:c r="AA378" s="32"/>
      <x:c r="AB378" s="32"/>
      <x:c r="AC378" s="32"/>
      <x:c r="AD378" s="32"/>
      <x:c r="AE378" s="32"/>
      <x:c r="AF378" s="32"/>
      <x:c r="AG378" s="33" t="str">
        <x:f>IF(OR(AE378="",AF378=""),"",IF(AE378="Positif",IF(AF378="Positif","TP","FN"),IF(AF378="Positif","FP","TN")))</x:f>
      </x:c>
    </x:row>
    <x:row r="379">
      <x:c r="A379" s="32"/>
      <x:c r="B379" s="32"/>
      <x:c r="C379" s="32"/>
      <x:c r="D379" s="35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7"/>
      <x:c r="O379" s="32"/>
      <x:c r="P379" s="40"/>
      <x:c r="Q379" s="40"/>
      <x:c r="R379" s="41" t="str">
        <x:f>IF(OR(P379="",Q379=""),"",P379-Q379)</x:f>
      </x:c>
      <x:c r="S379" s="32"/>
      <x:c r="T379" s="32"/>
      <x:c r="U379" s="32"/>
      <x:c r="V379" s="32"/>
      <x:c r="W379" s="32"/>
      <x:c r="X379" s="32"/>
      <x:c r="Y379" s="43" t="str">
        <x:f>IF(OR(X379="",X379="Pending"),"",IF(X379="Rejected",0,IF(AND(U379="Ya",V379="Ya",W379="Ya"),1,"")))</x:f>
      </x:c>
      <x:c r="AA379" s="32"/>
      <x:c r="AB379" s="32"/>
      <x:c r="AC379" s="32"/>
      <x:c r="AD379" s="32"/>
      <x:c r="AE379" s="32"/>
      <x:c r="AF379" s="32"/>
      <x:c r="AG379" s="33" t="str">
        <x:f>IF(OR(AE379="",AF379=""),"",IF(AE379="Positif",IF(AF379="Positif","TP","FN"),IF(AF379="Positif","FP","TN")))</x:f>
      </x:c>
    </x:row>
    <x:row r="380">
      <x:c r="A380" s="32"/>
      <x:c r="B380" s="32"/>
      <x:c r="C380" s="32"/>
      <x:c r="D380" s="35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7"/>
      <x:c r="O380" s="32"/>
      <x:c r="P380" s="40"/>
      <x:c r="Q380" s="40"/>
      <x:c r="R380" s="41" t="str">
        <x:f>IF(OR(P380="",Q380=""),"",P380-Q380)</x:f>
      </x:c>
      <x:c r="S380" s="32"/>
      <x:c r="T380" s="32"/>
      <x:c r="U380" s="32"/>
      <x:c r="V380" s="32"/>
      <x:c r="W380" s="32"/>
      <x:c r="X380" s="32"/>
      <x:c r="Y380" s="43" t="str">
        <x:f>IF(OR(X380="",X380="Pending"),"",IF(X380="Rejected",0,IF(AND(U380="Ya",V380="Ya",W380="Ya"),1,"")))</x:f>
      </x:c>
      <x:c r="AA380" s="32"/>
      <x:c r="AB380" s="32"/>
      <x:c r="AC380" s="32"/>
      <x:c r="AD380" s="32"/>
      <x:c r="AE380" s="32"/>
      <x:c r="AF380" s="32"/>
      <x:c r="AG380" s="33" t="str">
        <x:f>IF(OR(AE380="",AF380=""),"",IF(AE380="Positif",IF(AF380="Positif","TP","FN"),IF(AF380="Positif","FP","TN")))</x:f>
      </x:c>
    </x:row>
    <x:row r="381">
      <x:c r="A381" s="32"/>
      <x:c r="B381" s="32"/>
      <x:c r="C381" s="32"/>
      <x:c r="D381" s="35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7"/>
      <x:c r="O381" s="32"/>
      <x:c r="P381" s="40"/>
      <x:c r="Q381" s="40"/>
      <x:c r="R381" s="41" t="str">
        <x:f>IF(OR(P381="",Q381=""),"",P381-Q381)</x:f>
      </x:c>
      <x:c r="S381" s="32"/>
      <x:c r="T381" s="32"/>
      <x:c r="U381" s="32"/>
      <x:c r="V381" s="32"/>
      <x:c r="W381" s="32"/>
      <x:c r="X381" s="32"/>
      <x:c r="Y381" s="43" t="str">
        <x:f>IF(OR(X381="",X381="Pending"),"",IF(X381="Rejected",0,IF(AND(U381="Ya",V381="Ya",W381="Ya"),1,"")))</x:f>
      </x:c>
      <x:c r="AA381" s="32"/>
      <x:c r="AB381" s="32"/>
      <x:c r="AC381" s="32"/>
      <x:c r="AD381" s="32"/>
      <x:c r="AE381" s="32"/>
      <x:c r="AF381" s="32"/>
      <x:c r="AG381" s="33" t="str">
        <x:f>IF(OR(AE381="",AF381=""),"",IF(AE381="Positif",IF(AF381="Positif","TP","FN"),IF(AF381="Positif","FP","TN")))</x:f>
      </x:c>
    </x:row>
    <x:row r="382">
      <x:c r="A382" s="32"/>
      <x:c r="B382" s="32"/>
      <x:c r="C382" s="32"/>
      <x:c r="D382" s="35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7"/>
      <x:c r="O382" s="32"/>
      <x:c r="P382" s="40"/>
      <x:c r="Q382" s="40"/>
      <x:c r="R382" s="41" t="str">
        <x:f>IF(OR(P382="",Q382=""),"",P382-Q382)</x:f>
      </x:c>
      <x:c r="S382" s="32"/>
      <x:c r="T382" s="32"/>
      <x:c r="U382" s="32"/>
      <x:c r="V382" s="32"/>
      <x:c r="W382" s="32"/>
      <x:c r="X382" s="32"/>
      <x:c r="Y382" s="43" t="str">
        <x:f>IF(OR(X382="",X382="Pending"),"",IF(X382="Rejected",0,IF(AND(U382="Ya",V382="Ya",W382="Ya"),1,"")))</x:f>
      </x:c>
      <x:c r="AA382" s="32"/>
      <x:c r="AB382" s="32"/>
      <x:c r="AC382" s="32"/>
      <x:c r="AD382" s="32"/>
      <x:c r="AE382" s="32"/>
      <x:c r="AF382" s="32"/>
      <x:c r="AG382" s="33" t="str">
        <x:f>IF(OR(AE382="",AF382=""),"",IF(AE382="Positif",IF(AF382="Positif","TP","FN"),IF(AF382="Positif","FP","TN")))</x:f>
      </x:c>
    </x:row>
    <x:row r="383">
      <x:c r="A383" s="32"/>
      <x:c r="B383" s="32"/>
      <x:c r="C383" s="32"/>
      <x:c r="D383" s="35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7"/>
      <x:c r="O383" s="32"/>
      <x:c r="P383" s="40"/>
      <x:c r="Q383" s="40"/>
      <x:c r="R383" s="41" t="str">
        <x:f>IF(OR(P383="",Q383=""),"",P383-Q383)</x:f>
      </x:c>
      <x:c r="S383" s="32"/>
      <x:c r="T383" s="32"/>
      <x:c r="U383" s="32"/>
      <x:c r="V383" s="32"/>
      <x:c r="W383" s="32"/>
      <x:c r="X383" s="32"/>
      <x:c r="Y383" s="43" t="str">
        <x:f>IF(OR(X383="",X383="Pending"),"",IF(X383="Rejected",0,IF(AND(U383="Ya",V383="Ya",W383="Ya"),1,"")))</x:f>
      </x:c>
      <x:c r="AA383" s="32"/>
      <x:c r="AB383" s="32"/>
      <x:c r="AC383" s="32"/>
      <x:c r="AD383" s="32"/>
      <x:c r="AE383" s="32"/>
      <x:c r="AF383" s="32"/>
      <x:c r="AG383" s="33" t="str">
        <x:f>IF(OR(AE383="",AF383=""),"",IF(AE383="Positif",IF(AF383="Positif","TP","FN"),IF(AF383="Positif","FP","TN")))</x:f>
      </x:c>
    </x:row>
    <x:row r="384">
      <x:c r="A384" s="32"/>
      <x:c r="B384" s="32"/>
      <x:c r="C384" s="32"/>
      <x:c r="D384" s="35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7"/>
      <x:c r="O384" s="32"/>
      <x:c r="P384" s="40"/>
      <x:c r="Q384" s="40"/>
      <x:c r="R384" s="41" t="str">
        <x:f>IF(OR(P384="",Q384=""),"",P384-Q384)</x:f>
      </x:c>
      <x:c r="S384" s="32"/>
      <x:c r="T384" s="32"/>
      <x:c r="U384" s="32"/>
      <x:c r="V384" s="32"/>
      <x:c r="W384" s="32"/>
      <x:c r="X384" s="32"/>
      <x:c r="Y384" s="43" t="str">
        <x:f>IF(OR(X384="",X384="Pending"),"",IF(X384="Rejected",0,IF(AND(U384="Ya",V384="Ya",W384="Ya"),1,"")))</x:f>
      </x:c>
      <x:c r="AA384" s="32"/>
      <x:c r="AB384" s="32"/>
      <x:c r="AC384" s="32"/>
      <x:c r="AD384" s="32"/>
      <x:c r="AE384" s="32"/>
      <x:c r="AF384" s="32"/>
      <x:c r="AG384" s="33" t="str">
        <x:f>IF(OR(AE384="",AF384=""),"",IF(AE384="Positif",IF(AF384="Positif","TP","FN"),IF(AF384="Positif","FP","TN")))</x:f>
      </x:c>
    </x:row>
    <x:row r="385">
      <x:c r="A385" s="32"/>
      <x:c r="B385" s="32"/>
      <x:c r="C385" s="32"/>
      <x:c r="D385" s="35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7"/>
      <x:c r="O385" s="32"/>
      <x:c r="P385" s="40"/>
      <x:c r="Q385" s="40"/>
      <x:c r="R385" s="41" t="str">
        <x:f>IF(OR(P385="",Q385=""),"",P385-Q385)</x:f>
      </x:c>
      <x:c r="S385" s="32"/>
      <x:c r="T385" s="32"/>
      <x:c r="U385" s="32"/>
      <x:c r="V385" s="32"/>
      <x:c r="W385" s="32"/>
      <x:c r="X385" s="32"/>
      <x:c r="Y385" s="43" t="str">
        <x:f>IF(OR(X385="",X385="Pending"),"",IF(X385="Rejected",0,IF(AND(U385="Ya",V385="Ya",W385="Ya"),1,"")))</x:f>
      </x:c>
      <x:c r="AA385" s="32"/>
      <x:c r="AB385" s="32"/>
      <x:c r="AC385" s="32"/>
      <x:c r="AD385" s="32"/>
      <x:c r="AE385" s="32"/>
      <x:c r="AF385" s="32"/>
      <x:c r="AG385" s="33" t="str">
        <x:f>IF(OR(AE385="",AF385=""),"",IF(AE385="Positif",IF(AF385="Positif","TP","FN"),IF(AF385="Positif","FP","TN")))</x:f>
      </x:c>
    </x:row>
    <x:row r="386">
      <x:c r="A386" s="32"/>
      <x:c r="B386" s="32"/>
      <x:c r="C386" s="32"/>
      <x:c r="D386" s="35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7"/>
      <x:c r="O386" s="32"/>
      <x:c r="P386" s="40"/>
      <x:c r="Q386" s="40"/>
      <x:c r="R386" s="41" t="str">
        <x:f>IF(OR(P386="",Q386=""),"",P386-Q386)</x:f>
      </x:c>
      <x:c r="S386" s="32"/>
      <x:c r="T386" s="32"/>
      <x:c r="U386" s="32"/>
      <x:c r="V386" s="32"/>
      <x:c r="W386" s="32"/>
      <x:c r="X386" s="32"/>
      <x:c r="Y386" s="43" t="str">
        <x:f>IF(OR(X386="",X386="Pending"),"",IF(X386="Rejected",0,IF(AND(U386="Ya",V386="Ya",W386="Ya"),1,"")))</x:f>
      </x:c>
      <x:c r="AA386" s="32"/>
      <x:c r="AB386" s="32"/>
      <x:c r="AC386" s="32"/>
      <x:c r="AD386" s="32"/>
      <x:c r="AE386" s="32"/>
      <x:c r="AF386" s="32"/>
      <x:c r="AG386" s="33" t="str">
        <x:f>IF(OR(AE386="",AF386=""),"",IF(AE386="Positif",IF(AF386="Positif","TP","FN"),IF(AF386="Positif","FP","TN")))</x:f>
      </x:c>
    </x:row>
    <x:row r="387">
      <x:c r="A387" s="32"/>
      <x:c r="B387" s="32"/>
      <x:c r="C387" s="32"/>
      <x:c r="D387" s="35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7"/>
      <x:c r="O387" s="32"/>
      <x:c r="P387" s="40"/>
      <x:c r="Q387" s="40"/>
      <x:c r="R387" s="41" t="str">
        <x:f>IF(OR(P387="",Q387=""),"",P387-Q387)</x:f>
      </x:c>
      <x:c r="S387" s="32"/>
      <x:c r="T387" s="32"/>
      <x:c r="U387" s="32"/>
      <x:c r="V387" s="32"/>
      <x:c r="W387" s="32"/>
      <x:c r="X387" s="32"/>
      <x:c r="Y387" s="43" t="str">
        <x:f>IF(OR(X387="",X387="Pending"),"",IF(X387="Rejected",0,IF(AND(U387="Ya",V387="Ya",W387="Ya"),1,"")))</x:f>
      </x:c>
      <x:c r="AA387" s="32"/>
      <x:c r="AB387" s="32"/>
      <x:c r="AC387" s="32"/>
      <x:c r="AD387" s="32"/>
      <x:c r="AE387" s="32"/>
      <x:c r="AF387" s="32"/>
      <x:c r="AG387" s="33" t="str">
        <x:f>IF(OR(AE387="",AF387=""),"",IF(AE387="Positif",IF(AF387="Positif","TP","FN"),IF(AF387="Positif","FP","TN")))</x:f>
      </x:c>
    </x:row>
    <x:row r="388">
      <x:c r="A388" s="32"/>
      <x:c r="B388" s="32"/>
      <x:c r="C388" s="32"/>
      <x:c r="D388" s="35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7"/>
      <x:c r="O388" s="32"/>
      <x:c r="P388" s="40"/>
      <x:c r="Q388" s="40"/>
      <x:c r="R388" s="41" t="str">
        <x:f>IF(OR(P388="",Q388=""),"",P388-Q388)</x:f>
      </x:c>
      <x:c r="S388" s="32"/>
      <x:c r="T388" s="32"/>
      <x:c r="U388" s="32"/>
      <x:c r="V388" s="32"/>
      <x:c r="W388" s="32"/>
      <x:c r="X388" s="32"/>
      <x:c r="Y388" s="43" t="str">
        <x:f>IF(OR(X388="",X388="Pending"),"",IF(X388="Rejected",0,IF(AND(U388="Ya",V388="Ya",W388="Ya"),1,"")))</x:f>
      </x:c>
      <x:c r="AA388" s="32"/>
      <x:c r="AB388" s="32"/>
      <x:c r="AC388" s="32"/>
      <x:c r="AD388" s="32"/>
      <x:c r="AE388" s="32"/>
      <x:c r="AF388" s="32"/>
      <x:c r="AG388" s="33" t="str">
        <x:f>IF(OR(AE388="",AF388=""),"",IF(AE388="Positif",IF(AF388="Positif","TP","FN"),IF(AF388="Positif","FP","TN")))</x:f>
      </x:c>
    </x:row>
    <x:row r="389">
      <x:c r="A389" s="32"/>
      <x:c r="B389" s="32"/>
      <x:c r="C389" s="32"/>
      <x:c r="D389" s="35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7"/>
      <x:c r="O389" s="32"/>
      <x:c r="P389" s="40"/>
      <x:c r="Q389" s="40"/>
      <x:c r="R389" s="41" t="str">
        <x:f>IF(OR(P389="",Q389=""),"",P389-Q389)</x:f>
      </x:c>
      <x:c r="S389" s="32"/>
      <x:c r="T389" s="32"/>
      <x:c r="U389" s="32"/>
      <x:c r="V389" s="32"/>
      <x:c r="W389" s="32"/>
      <x:c r="X389" s="32"/>
      <x:c r="Y389" s="43" t="str">
        <x:f>IF(OR(X389="",X389="Pending"),"",IF(X389="Rejected",0,IF(AND(U389="Ya",V389="Ya",W389="Ya"),1,"")))</x:f>
      </x:c>
      <x:c r="AA389" s="32"/>
      <x:c r="AB389" s="32"/>
      <x:c r="AC389" s="32"/>
      <x:c r="AD389" s="32"/>
      <x:c r="AE389" s="32"/>
      <x:c r="AF389" s="32"/>
      <x:c r="AG389" s="33" t="str">
        <x:f>IF(OR(AE389="",AF389=""),"",IF(AE389="Positif",IF(AF389="Positif","TP","FN"),IF(AF389="Positif","FP","TN")))</x:f>
      </x:c>
    </x:row>
    <x:row r="390">
      <x:c r="A390" s="32"/>
      <x:c r="B390" s="32"/>
      <x:c r="C390" s="32"/>
      <x:c r="D390" s="35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7"/>
      <x:c r="O390" s="32"/>
      <x:c r="P390" s="40"/>
      <x:c r="Q390" s="40"/>
      <x:c r="R390" s="41" t="str">
        <x:f>IF(OR(P390="",Q390=""),"",P390-Q390)</x:f>
      </x:c>
      <x:c r="S390" s="32"/>
      <x:c r="T390" s="32"/>
      <x:c r="U390" s="32"/>
      <x:c r="V390" s="32"/>
      <x:c r="W390" s="32"/>
      <x:c r="X390" s="32"/>
      <x:c r="Y390" s="43" t="str">
        <x:f>IF(OR(X390="",X390="Pending"),"",IF(X390="Rejected",0,IF(AND(U390="Ya",V390="Ya",W390="Ya"),1,"")))</x:f>
      </x:c>
      <x:c r="AA390" s="32"/>
      <x:c r="AB390" s="32"/>
      <x:c r="AC390" s="32"/>
      <x:c r="AD390" s="32"/>
      <x:c r="AE390" s="32"/>
      <x:c r="AF390" s="32"/>
      <x:c r="AG390" s="33" t="str">
        <x:f>IF(OR(AE390="",AF390=""),"",IF(AE390="Positif",IF(AF390="Positif","TP","FN"),IF(AF390="Positif","FP","TN")))</x:f>
      </x:c>
    </x:row>
    <x:row r="391">
      <x:c r="A391" s="32"/>
      <x:c r="B391" s="32"/>
      <x:c r="C391" s="32"/>
      <x:c r="D391" s="35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7"/>
      <x:c r="O391" s="32"/>
      <x:c r="P391" s="40"/>
      <x:c r="Q391" s="40"/>
      <x:c r="R391" s="41" t="str">
        <x:f>IF(OR(P391="",Q391=""),"",P391-Q391)</x:f>
      </x:c>
      <x:c r="S391" s="32"/>
      <x:c r="T391" s="32"/>
      <x:c r="U391" s="32"/>
      <x:c r="V391" s="32"/>
      <x:c r="W391" s="32"/>
      <x:c r="X391" s="32"/>
      <x:c r="Y391" s="43" t="str">
        <x:f>IF(OR(X391="",X391="Pending"),"",IF(X391="Rejected",0,IF(AND(U391="Ya",V391="Ya",W391="Ya"),1,"")))</x:f>
      </x:c>
      <x:c r="AA391" s="32"/>
      <x:c r="AB391" s="32"/>
      <x:c r="AC391" s="32"/>
      <x:c r="AD391" s="32"/>
      <x:c r="AE391" s="32"/>
      <x:c r="AF391" s="32"/>
      <x:c r="AG391" s="33" t="str">
        <x:f>IF(OR(AE391="",AF391=""),"",IF(AE391="Positif",IF(AF391="Positif","TP","FN"),IF(AF391="Positif","FP","TN")))</x:f>
      </x:c>
    </x:row>
    <x:row r="392">
      <x:c r="A392" s="32"/>
      <x:c r="B392" s="32"/>
      <x:c r="C392" s="32"/>
      <x:c r="D392" s="35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7"/>
      <x:c r="O392" s="32"/>
      <x:c r="P392" s="40"/>
      <x:c r="Q392" s="40"/>
      <x:c r="R392" s="41" t="str">
        <x:f>IF(OR(P392="",Q392=""),"",P392-Q392)</x:f>
      </x:c>
      <x:c r="S392" s="32"/>
      <x:c r="T392" s="32"/>
      <x:c r="U392" s="32"/>
      <x:c r="V392" s="32"/>
      <x:c r="W392" s="32"/>
      <x:c r="X392" s="32"/>
      <x:c r="Y392" s="43" t="str">
        <x:f>IF(OR(X392="",X392="Pending"),"",IF(X392="Rejected",0,IF(AND(U392="Ya",V392="Ya",W392="Ya"),1,"")))</x:f>
      </x:c>
      <x:c r="AA392" s="32"/>
      <x:c r="AB392" s="32"/>
      <x:c r="AC392" s="32"/>
      <x:c r="AD392" s="32"/>
      <x:c r="AE392" s="32"/>
      <x:c r="AF392" s="32"/>
      <x:c r="AG392" s="33" t="str">
        <x:f>IF(OR(AE392="",AF392=""),"",IF(AE392="Positif",IF(AF392="Positif","TP","FN"),IF(AF392="Positif","FP","TN")))</x:f>
      </x:c>
    </x:row>
    <x:row r="393">
      <x:c r="A393" s="32"/>
      <x:c r="B393" s="32"/>
      <x:c r="C393" s="32"/>
      <x:c r="D393" s="35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7"/>
      <x:c r="O393" s="32"/>
      <x:c r="P393" s="40"/>
      <x:c r="Q393" s="40"/>
      <x:c r="R393" s="41" t="str">
        <x:f>IF(OR(P393="",Q393=""),"",P393-Q393)</x:f>
      </x:c>
      <x:c r="S393" s="32"/>
      <x:c r="T393" s="32"/>
      <x:c r="U393" s="32"/>
      <x:c r="V393" s="32"/>
      <x:c r="W393" s="32"/>
      <x:c r="X393" s="32"/>
      <x:c r="Y393" s="43" t="str">
        <x:f>IF(OR(X393="",X393="Pending"),"",IF(X393="Rejected",0,IF(AND(U393="Ya",V393="Ya",W393="Ya"),1,"")))</x:f>
      </x:c>
      <x:c r="AA393" s="32"/>
      <x:c r="AB393" s="32"/>
      <x:c r="AC393" s="32"/>
      <x:c r="AD393" s="32"/>
      <x:c r="AE393" s="32"/>
      <x:c r="AF393" s="32"/>
      <x:c r="AG393" s="33" t="str">
        <x:f>IF(OR(AE393="",AF393=""),"",IF(AE393="Positif",IF(AF393="Positif","TP","FN"),IF(AF393="Positif","FP","TN")))</x:f>
      </x:c>
    </x:row>
    <x:row r="394">
      <x:c r="A394" s="32"/>
      <x:c r="B394" s="32"/>
      <x:c r="C394" s="32"/>
      <x:c r="D394" s="35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7"/>
      <x:c r="O394" s="32"/>
      <x:c r="P394" s="40"/>
      <x:c r="Q394" s="40"/>
      <x:c r="R394" s="41" t="str">
        <x:f>IF(OR(P394="",Q394=""),"",P394-Q394)</x:f>
      </x:c>
      <x:c r="S394" s="32"/>
      <x:c r="T394" s="32"/>
      <x:c r="U394" s="32"/>
      <x:c r="V394" s="32"/>
      <x:c r="W394" s="32"/>
      <x:c r="X394" s="32"/>
      <x:c r="Y394" s="43" t="str">
        <x:f>IF(OR(X394="",X394="Pending"),"",IF(X394="Rejected",0,IF(AND(U394="Ya",V394="Ya",W394="Ya"),1,"")))</x:f>
      </x:c>
      <x:c r="AA394" s="32"/>
      <x:c r="AB394" s="32"/>
      <x:c r="AC394" s="32"/>
      <x:c r="AD394" s="32"/>
      <x:c r="AE394" s="32"/>
      <x:c r="AF394" s="32"/>
      <x:c r="AG394" s="33" t="str">
        <x:f>IF(OR(AE394="",AF394=""),"",IF(AE394="Positif",IF(AF394="Positif","TP","FN"),IF(AF394="Positif","FP","TN")))</x:f>
      </x:c>
    </x:row>
    <x:row r="395">
      <x:c r="A395" s="32"/>
      <x:c r="B395" s="32"/>
      <x:c r="C395" s="32"/>
      <x:c r="D395" s="35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7"/>
      <x:c r="O395" s="32"/>
      <x:c r="P395" s="40"/>
      <x:c r="Q395" s="40"/>
      <x:c r="R395" s="41" t="str">
        <x:f>IF(OR(P395="",Q395=""),"",P395-Q395)</x:f>
      </x:c>
      <x:c r="S395" s="32"/>
      <x:c r="T395" s="32"/>
      <x:c r="U395" s="32"/>
      <x:c r="V395" s="32"/>
      <x:c r="W395" s="32"/>
      <x:c r="X395" s="32"/>
      <x:c r="Y395" s="43" t="str">
        <x:f>IF(OR(X395="",X395="Pending"),"",IF(X395="Rejected",0,IF(AND(U395="Ya",V395="Ya",W395="Ya"),1,"")))</x:f>
      </x:c>
      <x:c r="AA395" s="32"/>
      <x:c r="AB395" s="32"/>
      <x:c r="AC395" s="32"/>
      <x:c r="AD395" s="32"/>
      <x:c r="AE395" s="32"/>
      <x:c r="AF395" s="32"/>
      <x:c r="AG395" s="33" t="str">
        <x:f>IF(OR(AE395="",AF395=""),"",IF(AE395="Positif",IF(AF395="Positif","TP","FN"),IF(AF395="Positif","FP","TN")))</x:f>
      </x:c>
    </x:row>
    <x:row r="396">
      <x:c r="A396" s="32"/>
      <x:c r="B396" s="32"/>
      <x:c r="C396" s="32"/>
      <x:c r="D396" s="35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7"/>
      <x:c r="O396" s="32"/>
      <x:c r="P396" s="40"/>
      <x:c r="Q396" s="40"/>
      <x:c r="R396" s="41" t="str">
        <x:f>IF(OR(P396="",Q396=""),"",P396-Q396)</x:f>
      </x:c>
      <x:c r="S396" s="32"/>
      <x:c r="T396" s="32"/>
      <x:c r="U396" s="32"/>
      <x:c r="V396" s="32"/>
      <x:c r="W396" s="32"/>
      <x:c r="X396" s="32"/>
      <x:c r="Y396" s="43" t="str">
        <x:f>IF(OR(X396="",X396="Pending"),"",IF(X396="Rejected",0,IF(AND(U396="Ya",V396="Ya",W396="Ya"),1,"")))</x:f>
      </x:c>
      <x:c r="AA396" s="32"/>
      <x:c r="AB396" s="32"/>
      <x:c r="AC396" s="32"/>
      <x:c r="AD396" s="32"/>
      <x:c r="AE396" s="32"/>
      <x:c r="AF396" s="32"/>
      <x:c r="AG396" s="33" t="str">
        <x:f>IF(OR(AE396="",AF396=""),"",IF(AE396="Positif",IF(AF396="Positif","TP","FN"),IF(AF396="Positif","FP","TN")))</x:f>
      </x:c>
    </x:row>
    <x:row r="397">
      <x:c r="A397" s="32"/>
      <x:c r="B397" s="32"/>
      <x:c r="C397" s="32"/>
      <x:c r="D397" s="35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7"/>
      <x:c r="O397" s="32"/>
      <x:c r="P397" s="40"/>
      <x:c r="Q397" s="40"/>
      <x:c r="R397" s="41" t="str">
        <x:f>IF(OR(P397="",Q397=""),"",P397-Q397)</x:f>
      </x:c>
      <x:c r="S397" s="32"/>
      <x:c r="T397" s="32"/>
      <x:c r="U397" s="32"/>
      <x:c r="V397" s="32"/>
      <x:c r="W397" s="32"/>
      <x:c r="X397" s="32"/>
      <x:c r="Y397" s="43" t="str">
        <x:f>IF(OR(X397="",X397="Pending"),"",IF(X397="Rejected",0,IF(AND(U397="Ya",V397="Ya",W397="Ya"),1,"")))</x:f>
      </x:c>
      <x:c r="AA397" s="32"/>
      <x:c r="AB397" s="32"/>
      <x:c r="AC397" s="32"/>
      <x:c r="AD397" s="32"/>
      <x:c r="AE397" s="32"/>
      <x:c r="AF397" s="32"/>
      <x:c r="AG397" s="33" t="str">
        <x:f>IF(OR(AE397="",AF397=""),"",IF(AE397="Positif",IF(AF397="Positif","TP","FN"),IF(AF397="Positif","FP","TN")))</x:f>
      </x:c>
    </x:row>
    <x:row r="398">
      <x:c r="A398" s="32"/>
      <x:c r="B398" s="32"/>
      <x:c r="C398" s="32"/>
      <x:c r="D398" s="35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7"/>
      <x:c r="O398" s="32"/>
      <x:c r="P398" s="40"/>
      <x:c r="Q398" s="40"/>
      <x:c r="R398" s="41" t="str">
        <x:f>IF(OR(P398="",Q398=""),"",P398-Q398)</x:f>
      </x:c>
      <x:c r="S398" s="32"/>
      <x:c r="T398" s="32"/>
      <x:c r="U398" s="32"/>
      <x:c r="V398" s="32"/>
      <x:c r="W398" s="32"/>
      <x:c r="X398" s="32"/>
      <x:c r="Y398" s="43" t="str">
        <x:f>IF(OR(X398="",X398="Pending"),"",IF(X398="Rejected",0,IF(AND(U398="Ya",V398="Ya",W398="Ya"),1,"")))</x:f>
      </x:c>
      <x:c r="AA398" s="32"/>
      <x:c r="AB398" s="32"/>
      <x:c r="AC398" s="32"/>
      <x:c r="AD398" s="32"/>
      <x:c r="AE398" s="32"/>
      <x:c r="AF398" s="32"/>
      <x:c r="AG398" s="33" t="str">
        <x:f>IF(OR(AE398="",AF398=""),"",IF(AE398="Positif",IF(AF398="Positif","TP","FN"),IF(AF398="Positif","FP","TN")))</x:f>
      </x:c>
    </x:row>
    <x:row r="399">
      <x:c r="A399" s="32"/>
      <x:c r="B399" s="32"/>
      <x:c r="C399" s="32"/>
      <x:c r="D399" s="35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7"/>
      <x:c r="O399" s="32"/>
      <x:c r="P399" s="40"/>
      <x:c r="Q399" s="40"/>
      <x:c r="R399" s="41" t="str">
        <x:f>IF(OR(P399="",Q399=""),"",P399-Q399)</x:f>
      </x:c>
      <x:c r="S399" s="32"/>
      <x:c r="T399" s="32"/>
      <x:c r="U399" s="32"/>
      <x:c r="V399" s="32"/>
      <x:c r="W399" s="32"/>
      <x:c r="X399" s="32"/>
      <x:c r="Y399" s="43" t="str">
        <x:f>IF(OR(X399="",X399="Pending"),"",IF(X399="Rejected",0,IF(AND(U399="Ya",V399="Ya",W399="Ya"),1,"")))</x:f>
      </x:c>
      <x:c r="AA399" s="32"/>
      <x:c r="AB399" s="32"/>
      <x:c r="AC399" s="32"/>
      <x:c r="AD399" s="32"/>
      <x:c r="AE399" s="32"/>
      <x:c r="AF399" s="32"/>
      <x:c r="AG399" s="33" t="str">
        <x:f>IF(OR(AE399="",AF399=""),"",IF(AE399="Positif",IF(AF399="Positif","TP","FN"),IF(AF399="Positif","FP","TN")))</x:f>
      </x:c>
    </x:row>
    <x:row r="400">
      <x:c r="A400" s="32"/>
      <x:c r="B400" s="32"/>
      <x:c r="C400" s="32"/>
      <x:c r="D400" s="35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7"/>
      <x:c r="O400" s="32"/>
      <x:c r="P400" s="40"/>
      <x:c r="Q400" s="40"/>
      <x:c r="R400" s="41" t="str">
        <x:f>IF(OR(P400="",Q400=""),"",P400-Q400)</x:f>
      </x:c>
      <x:c r="S400" s="32"/>
      <x:c r="T400" s="32"/>
      <x:c r="U400" s="32"/>
      <x:c r="V400" s="32"/>
      <x:c r="W400" s="32"/>
      <x:c r="X400" s="32"/>
      <x:c r="Y400" s="43" t="str">
        <x:f>IF(OR(X400="",X400="Pending"),"",IF(X400="Rejected",0,IF(AND(U400="Ya",V400="Ya",W400="Ya"),1,"")))</x:f>
      </x:c>
      <x:c r="AA400" s="32"/>
      <x:c r="AB400" s="32"/>
      <x:c r="AC400" s="32"/>
      <x:c r="AD400" s="32"/>
      <x:c r="AE400" s="32"/>
      <x:c r="AF400" s="32"/>
      <x:c r="AG400" s="33" t="str">
        <x:f>IF(OR(AE400="",AF400=""),"",IF(AE400="Positif",IF(AF400="Positif","TP","FN"),IF(AF400="Positif","FP","TN")))</x:f>
      </x:c>
    </x:row>
    <x:row r="401">
      <x:c r="A401" s="32"/>
      <x:c r="B401" s="32"/>
      <x:c r="C401" s="32"/>
      <x:c r="D401" s="35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7"/>
      <x:c r="O401" s="32"/>
      <x:c r="P401" s="40"/>
      <x:c r="Q401" s="40"/>
      <x:c r="R401" s="41" t="str">
        <x:f>IF(OR(P401="",Q401=""),"",P401-Q401)</x:f>
      </x:c>
      <x:c r="S401" s="32"/>
      <x:c r="T401" s="32"/>
      <x:c r="U401" s="32"/>
      <x:c r="V401" s="32"/>
      <x:c r="W401" s="32"/>
      <x:c r="X401" s="32"/>
      <x:c r="Y401" s="43" t="str">
        <x:f>IF(OR(X401="",X401="Pending"),"",IF(X401="Rejected",0,IF(AND(U401="Ya",V401="Ya",W401="Ya"),1,"")))</x:f>
      </x:c>
      <x:c r="AA401" s="32"/>
      <x:c r="AB401" s="32"/>
      <x:c r="AC401" s="32"/>
      <x:c r="AD401" s="32"/>
      <x:c r="AE401" s="32"/>
      <x:c r="AF401" s="32"/>
      <x:c r="AG401" s="33" t="str">
        <x:f>IF(OR(AE401="",AF401=""),"",IF(AE401="Positif",IF(AF401="Positif","TP","FN"),IF(AF401="Positif","FP","TN")))</x:f>
      </x:c>
    </x:row>
    <x:row r="402">
      <x:c r="A402" s="32"/>
      <x:c r="B402" s="32"/>
      <x:c r="C402" s="32"/>
      <x:c r="D402" s="35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7"/>
      <x:c r="O402" s="32"/>
      <x:c r="P402" s="40"/>
      <x:c r="Q402" s="40"/>
      <x:c r="R402" s="41" t="str">
        <x:f>IF(OR(P402="",Q402=""),"",P402-Q402)</x:f>
      </x:c>
      <x:c r="S402" s="32"/>
      <x:c r="T402" s="32"/>
      <x:c r="U402" s="32"/>
      <x:c r="V402" s="32"/>
      <x:c r="W402" s="32"/>
      <x:c r="X402" s="32"/>
      <x:c r="Y402" s="43" t="str">
        <x:f>IF(OR(X402="",X402="Pending"),"",IF(X402="Rejected",0,IF(AND(U402="Ya",V402="Ya",W402="Ya"),1,"")))</x:f>
      </x:c>
      <x:c r="AA402" s="32"/>
      <x:c r="AB402" s="32"/>
      <x:c r="AC402" s="32"/>
      <x:c r="AD402" s="32"/>
      <x:c r="AE402" s="32"/>
      <x:c r="AF402" s="32"/>
      <x:c r="AG402" s="33" t="str">
        <x:f>IF(OR(AE402="",AF402=""),"",IF(AE402="Positif",IF(AF402="Positif","TP","FN"),IF(AF402="Positif","FP","TN")))</x:f>
      </x:c>
    </x:row>
    <x:row r="403">
      <x:c r="A403" s="32"/>
      <x:c r="B403" s="32"/>
      <x:c r="C403" s="32"/>
      <x:c r="D403" s="35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7"/>
      <x:c r="O403" s="32"/>
      <x:c r="P403" s="40"/>
      <x:c r="Q403" s="40"/>
      <x:c r="R403" s="41" t="str">
        <x:f>IF(OR(P403="",Q403=""),"",P403-Q403)</x:f>
      </x:c>
      <x:c r="S403" s="32"/>
      <x:c r="T403" s="32"/>
      <x:c r="U403" s="32"/>
      <x:c r="V403" s="32"/>
      <x:c r="W403" s="32"/>
      <x:c r="X403" s="32"/>
      <x:c r="Y403" s="43" t="str">
        <x:f>IF(OR(X403="",X403="Pending"),"",IF(X403="Rejected",0,IF(AND(U403="Ya",V403="Ya",W403="Ya"),1,"")))</x:f>
      </x:c>
      <x:c r="AA403" s="32"/>
      <x:c r="AB403" s="32"/>
      <x:c r="AC403" s="32"/>
      <x:c r="AD403" s="32"/>
      <x:c r="AE403" s="32"/>
      <x:c r="AF403" s="32"/>
      <x:c r="AG403" s="33" t="str">
        <x:f>IF(OR(AE403="",AF403=""),"",IF(AE403="Positif",IF(AF403="Positif","TP","FN"),IF(AF403="Positif","FP","TN")))</x:f>
      </x:c>
    </x:row>
    <x:row r="404">
      <x:c r="A404" s="32"/>
      <x:c r="B404" s="32"/>
      <x:c r="C404" s="32"/>
      <x:c r="D404" s="35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7"/>
      <x:c r="O404" s="32"/>
      <x:c r="P404" s="40"/>
      <x:c r="Q404" s="40"/>
      <x:c r="R404" s="41" t="str">
        <x:f>IF(OR(P404="",Q404=""),"",P404-Q404)</x:f>
      </x:c>
      <x:c r="S404" s="32"/>
      <x:c r="T404" s="32"/>
      <x:c r="U404" s="32"/>
      <x:c r="V404" s="32"/>
      <x:c r="W404" s="32"/>
      <x:c r="X404" s="32"/>
      <x:c r="Y404" s="43" t="str">
        <x:f>IF(OR(X404="",X404="Pending"),"",IF(X404="Rejected",0,IF(AND(U404="Ya",V404="Ya",W404="Ya"),1,"")))</x:f>
      </x:c>
      <x:c r="AA404" s="32"/>
      <x:c r="AB404" s="32"/>
      <x:c r="AC404" s="32"/>
      <x:c r="AD404" s="32"/>
      <x:c r="AE404" s="32"/>
      <x:c r="AF404" s="32"/>
      <x:c r="AG404" s="33" t="str">
        <x:f>IF(OR(AE404="",AF404=""),"",IF(AE404="Positif",IF(AF404="Positif","TP","FN"),IF(AF404="Positif","FP","TN")))</x:f>
      </x:c>
    </x:row>
    <x:row r="405">
      <x:c r="A405" s="32"/>
      <x:c r="B405" s="32"/>
      <x:c r="C405" s="32"/>
      <x:c r="D405" s="35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7"/>
      <x:c r="O405" s="32"/>
      <x:c r="P405" s="40"/>
      <x:c r="Q405" s="40"/>
      <x:c r="R405" s="41" t="str">
        <x:f>IF(OR(P405="",Q405=""),"",P405-Q405)</x:f>
      </x:c>
      <x:c r="S405" s="32"/>
      <x:c r="T405" s="32"/>
      <x:c r="U405" s="32"/>
      <x:c r="V405" s="32"/>
      <x:c r="W405" s="32"/>
      <x:c r="X405" s="32"/>
      <x:c r="Y405" s="43" t="str">
        <x:f>IF(OR(X405="",X405="Pending"),"",IF(X405="Rejected",0,IF(AND(U405="Ya",V405="Ya",W405="Ya"),1,"")))</x:f>
      </x:c>
      <x:c r="AA405" s="32"/>
      <x:c r="AB405" s="32"/>
      <x:c r="AC405" s="32"/>
      <x:c r="AD405" s="32"/>
      <x:c r="AE405" s="32"/>
      <x:c r="AF405" s="32"/>
      <x:c r="AG405" s="33" t="str">
        <x:f>IF(OR(AE405="",AF405=""),"",IF(AE405="Positif",IF(AF405="Positif","TP","FN"),IF(AF405="Positif","FP","TN")))</x:f>
      </x:c>
    </x:row>
    <x:row r="406">
      <x:c r="A406" s="32"/>
      <x:c r="B406" s="32"/>
      <x:c r="C406" s="32"/>
      <x:c r="D406" s="35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7"/>
      <x:c r="O406" s="32"/>
      <x:c r="P406" s="40"/>
      <x:c r="Q406" s="40"/>
      <x:c r="R406" s="41" t="str">
        <x:f>IF(OR(P406="",Q406=""),"",P406-Q406)</x:f>
      </x:c>
      <x:c r="S406" s="32"/>
      <x:c r="T406" s="32"/>
      <x:c r="U406" s="32"/>
      <x:c r="V406" s="32"/>
      <x:c r="W406" s="32"/>
      <x:c r="X406" s="32"/>
      <x:c r="Y406" s="43" t="str">
        <x:f>IF(OR(X406="",X406="Pending"),"",IF(X406="Rejected",0,IF(AND(U406="Ya",V406="Ya",W406="Ya"),1,"")))</x:f>
      </x:c>
      <x:c r="AA406" s="32"/>
      <x:c r="AB406" s="32"/>
      <x:c r="AC406" s="32"/>
      <x:c r="AD406" s="32"/>
      <x:c r="AE406" s="32"/>
      <x:c r="AF406" s="32"/>
      <x:c r="AG406" s="33" t="str">
        <x:f>IF(OR(AE406="",AF406=""),"",IF(AE406="Positif",IF(AF406="Positif","TP","FN"),IF(AF406="Positif","FP","TN")))</x:f>
      </x:c>
    </x:row>
    <x:row r="407">
      <x:c r="A407" s="32"/>
      <x:c r="B407" s="32"/>
      <x:c r="C407" s="32"/>
      <x:c r="D407" s="35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7"/>
      <x:c r="O407" s="32"/>
      <x:c r="P407" s="40"/>
      <x:c r="Q407" s="40"/>
      <x:c r="R407" s="41" t="str">
        <x:f>IF(OR(P407="",Q407=""),"",P407-Q407)</x:f>
      </x:c>
      <x:c r="S407" s="32"/>
      <x:c r="T407" s="32"/>
      <x:c r="U407" s="32"/>
      <x:c r="V407" s="32"/>
      <x:c r="W407" s="32"/>
      <x:c r="X407" s="32"/>
      <x:c r="Y407" s="43" t="str">
        <x:f>IF(OR(X407="",X407="Pending"),"",IF(X407="Rejected",0,IF(AND(U407="Ya",V407="Ya",W407="Ya"),1,"")))</x:f>
      </x:c>
      <x:c r="AA407" s="32"/>
      <x:c r="AB407" s="32"/>
      <x:c r="AC407" s="32"/>
      <x:c r="AD407" s="32"/>
      <x:c r="AE407" s="32"/>
      <x:c r="AF407" s="32"/>
      <x:c r="AG407" s="33" t="str">
        <x:f>IF(OR(AE407="",AF407=""),"",IF(AE407="Positif",IF(AF407="Positif","TP","FN"),IF(AF407="Positif","FP","TN")))</x:f>
      </x:c>
    </x:row>
    <x:row r="408">
      <x:c r="A408" s="32"/>
      <x:c r="B408" s="32"/>
      <x:c r="C408" s="32"/>
      <x:c r="D408" s="35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7"/>
      <x:c r="O408" s="32"/>
      <x:c r="P408" s="40"/>
      <x:c r="Q408" s="40"/>
      <x:c r="R408" s="41" t="str">
        <x:f>IF(OR(P408="",Q408=""),"",P408-Q408)</x:f>
      </x:c>
      <x:c r="S408" s="32"/>
      <x:c r="T408" s="32"/>
      <x:c r="U408" s="32"/>
      <x:c r="V408" s="32"/>
      <x:c r="W408" s="32"/>
      <x:c r="X408" s="32"/>
      <x:c r="Y408" s="43" t="str">
        <x:f>IF(OR(X408="",X408="Pending"),"",IF(X408="Rejected",0,IF(AND(U408="Ya",V408="Ya",W408="Ya"),1,"")))</x:f>
      </x:c>
      <x:c r="AA408" s="32"/>
      <x:c r="AB408" s="32"/>
      <x:c r="AC408" s="32"/>
      <x:c r="AD408" s="32"/>
      <x:c r="AE408" s="32"/>
      <x:c r="AF408" s="32"/>
      <x:c r="AG408" s="33" t="str">
        <x:f>IF(OR(AE408="",AF408=""),"",IF(AE408="Positif",IF(AF408="Positif","TP","FN"),IF(AF408="Positif","FP","TN")))</x:f>
      </x:c>
    </x:row>
    <x:row r="409">
      <x:c r="A409" s="32"/>
      <x:c r="B409" s="32"/>
      <x:c r="C409" s="32"/>
      <x:c r="D409" s="35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7"/>
      <x:c r="O409" s="32"/>
      <x:c r="P409" s="40"/>
      <x:c r="Q409" s="40"/>
      <x:c r="R409" s="41" t="str">
        <x:f>IF(OR(P409="",Q409=""),"",P409-Q409)</x:f>
      </x:c>
      <x:c r="S409" s="32"/>
      <x:c r="T409" s="32"/>
      <x:c r="U409" s="32"/>
      <x:c r="V409" s="32"/>
      <x:c r="W409" s="32"/>
      <x:c r="X409" s="32"/>
      <x:c r="Y409" s="43" t="str">
        <x:f>IF(OR(X409="",X409="Pending"),"",IF(X409="Rejected",0,IF(AND(U409="Ya",V409="Ya",W409="Ya"),1,"")))</x:f>
      </x:c>
      <x:c r="AA409" s="32"/>
      <x:c r="AB409" s="32"/>
      <x:c r="AC409" s="32"/>
      <x:c r="AD409" s="32"/>
      <x:c r="AE409" s="32"/>
      <x:c r="AF409" s="32"/>
      <x:c r="AG409" s="33" t="str">
        <x:f>IF(OR(AE409="",AF409=""),"",IF(AE409="Positif",IF(AF409="Positif","TP","FN"),IF(AF409="Positif","FP","TN")))</x:f>
      </x:c>
    </x:row>
    <x:row r="410">
      <x:c r="A410" s="32"/>
      <x:c r="B410" s="32"/>
      <x:c r="C410" s="32"/>
      <x:c r="D410" s="35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7"/>
      <x:c r="O410" s="32"/>
      <x:c r="P410" s="40"/>
      <x:c r="Q410" s="40"/>
      <x:c r="R410" s="41" t="str">
        <x:f>IF(OR(P410="",Q410=""),"",P410-Q410)</x:f>
      </x:c>
      <x:c r="S410" s="32"/>
      <x:c r="T410" s="32"/>
      <x:c r="U410" s="32"/>
      <x:c r="V410" s="32"/>
      <x:c r="W410" s="32"/>
      <x:c r="X410" s="32"/>
      <x:c r="Y410" s="43" t="str">
        <x:f>IF(OR(X410="",X410="Pending"),"",IF(X410="Rejected",0,IF(AND(U410="Ya",V410="Ya",W410="Ya"),1,"")))</x:f>
      </x:c>
      <x:c r="AA410" s="32"/>
      <x:c r="AB410" s="32"/>
      <x:c r="AC410" s="32"/>
      <x:c r="AD410" s="32"/>
      <x:c r="AE410" s="32"/>
      <x:c r="AF410" s="32"/>
      <x:c r="AG410" s="33" t="str">
        <x:f>IF(OR(AE410="",AF410=""),"",IF(AE410="Positif",IF(AF410="Positif","TP","FN"),IF(AF410="Positif","FP","TN")))</x:f>
      </x:c>
    </x:row>
    <x:row r="411">
      <x:c r="A411" s="32"/>
      <x:c r="B411" s="32"/>
      <x:c r="C411" s="32"/>
      <x:c r="D411" s="35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7"/>
      <x:c r="O411" s="32"/>
      <x:c r="P411" s="40"/>
      <x:c r="Q411" s="40"/>
      <x:c r="R411" s="41" t="str">
        <x:f>IF(OR(P411="",Q411=""),"",P411-Q411)</x:f>
      </x:c>
      <x:c r="S411" s="32"/>
      <x:c r="T411" s="32"/>
      <x:c r="U411" s="32"/>
      <x:c r="V411" s="32"/>
      <x:c r="W411" s="32"/>
      <x:c r="X411" s="32"/>
      <x:c r="Y411" s="43" t="str">
        <x:f>IF(OR(X411="",X411="Pending"),"",IF(X411="Rejected",0,IF(AND(U411="Ya",V411="Ya",W411="Ya"),1,"")))</x:f>
      </x:c>
      <x:c r="AA411" s="32"/>
      <x:c r="AB411" s="32"/>
      <x:c r="AC411" s="32"/>
      <x:c r="AD411" s="32"/>
      <x:c r="AE411" s="32"/>
      <x:c r="AF411" s="32"/>
      <x:c r="AG411" s="33" t="str">
        <x:f>IF(OR(AE411="",AF411=""),"",IF(AE411="Positif",IF(AF411="Positif","TP","FN"),IF(AF411="Positif","FP","TN")))</x:f>
      </x:c>
    </x:row>
    <x:row r="412">
      <x:c r="A412" s="32"/>
      <x:c r="B412" s="32"/>
      <x:c r="C412" s="32"/>
      <x:c r="D412" s="35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7"/>
      <x:c r="O412" s="32"/>
      <x:c r="P412" s="40"/>
      <x:c r="Q412" s="40"/>
      <x:c r="R412" s="41" t="str">
        <x:f>IF(OR(P412="",Q412=""),"",P412-Q412)</x:f>
      </x:c>
      <x:c r="S412" s="32"/>
      <x:c r="T412" s="32"/>
      <x:c r="U412" s="32"/>
      <x:c r="V412" s="32"/>
      <x:c r="W412" s="32"/>
      <x:c r="X412" s="32"/>
      <x:c r="Y412" s="43" t="str">
        <x:f>IF(OR(X412="",X412="Pending"),"",IF(X412="Rejected",0,IF(AND(U412="Ya",V412="Ya",W412="Ya"),1,"")))</x:f>
      </x:c>
      <x:c r="AA412" s="32"/>
      <x:c r="AB412" s="32"/>
      <x:c r="AC412" s="32"/>
      <x:c r="AD412" s="32"/>
      <x:c r="AE412" s="32"/>
      <x:c r="AF412" s="32"/>
      <x:c r="AG412" s="33" t="str">
        <x:f>IF(OR(AE412="",AF412=""),"",IF(AE412="Positif",IF(AF412="Positif","TP","FN"),IF(AF412="Positif","FP","TN")))</x:f>
      </x:c>
    </x:row>
    <x:row r="413">
      <x:c r="A413" s="32"/>
      <x:c r="B413" s="32"/>
      <x:c r="C413" s="32"/>
      <x:c r="D413" s="35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7"/>
      <x:c r="O413" s="32"/>
      <x:c r="P413" s="40"/>
      <x:c r="Q413" s="40"/>
      <x:c r="R413" s="41" t="str">
        <x:f>IF(OR(P413="",Q413=""),"",P413-Q413)</x:f>
      </x:c>
      <x:c r="S413" s="32"/>
      <x:c r="T413" s="32"/>
      <x:c r="U413" s="32"/>
      <x:c r="V413" s="32"/>
      <x:c r="W413" s="32"/>
      <x:c r="X413" s="32"/>
      <x:c r="Y413" s="43" t="str">
        <x:f>IF(OR(X413="",X413="Pending"),"",IF(X413="Rejected",0,IF(AND(U413="Ya",V413="Ya",W413="Ya"),1,"")))</x:f>
      </x:c>
      <x:c r="AA413" s="32"/>
      <x:c r="AB413" s="32"/>
      <x:c r="AC413" s="32"/>
      <x:c r="AD413" s="32"/>
      <x:c r="AE413" s="32"/>
      <x:c r="AF413" s="32"/>
      <x:c r="AG413" s="33" t="str">
        <x:f>IF(OR(AE413="",AF413=""),"",IF(AE413="Positif",IF(AF413="Positif","TP","FN"),IF(AF413="Positif","FP","TN")))</x:f>
      </x:c>
    </x:row>
    <x:row r="414">
      <x:c r="A414" s="32"/>
      <x:c r="B414" s="32"/>
      <x:c r="C414" s="32"/>
      <x:c r="D414" s="35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7"/>
      <x:c r="O414" s="32"/>
      <x:c r="P414" s="40"/>
      <x:c r="Q414" s="40"/>
      <x:c r="R414" s="41" t="str">
        <x:f>IF(OR(P414="",Q414=""),"",P414-Q414)</x:f>
      </x:c>
      <x:c r="S414" s="32"/>
      <x:c r="T414" s="32"/>
      <x:c r="U414" s="32"/>
      <x:c r="V414" s="32"/>
      <x:c r="W414" s="32"/>
      <x:c r="X414" s="32"/>
      <x:c r="Y414" s="43" t="str">
        <x:f>IF(OR(X414="",X414="Pending"),"",IF(X414="Rejected",0,IF(AND(U414="Ya",V414="Ya",W414="Ya"),1,"")))</x:f>
      </x:c>
      <x:c r="AA414" s="32"/>
      <x:c r="AB414" s="32"/>
      <x:c r="AC414" s="32"/>
      <x:c r="AD414" s="32"/>
      <x:c r="AE414" s="32"/>
      <x:c r="AF414" s="32"/>
      <x:c r="AG414" s="33" t="str">
        <x:f>IF(OR(AE414="",AF414=""),"",IF(AE414="Positif",IF(AF414="Positif","TP","FN"),IF(AF414="Positif","FP","TN")))</x:f>
      </x:c>
    </x:row>
    <x:row r="415">
      <x:c r="A415" s="32"/>
      <x:c r="B415" s="32"/>
      <x:c r="C415" s="32"/>
      <x:c r="D415" s="35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7"/>
      <x:c r="O415" s="32"/>
      <x:c r="P415" s="40"/>
      <x:c r="Q415" s="40"/>
      <x:c r="R415" s="41" t="str">
        <x:f>IF(OR(P415="",Q415=""),"",P415-Q415)</x:f>
      </x:c>
      <x:c r="S415" s="32"/>
      <x:c r="T415" s="32"/>
      <x:c r="U415" s="32"/>
      <x:c r="V415" s="32"/>
      <x:c r="W415" s="32"/>
      <x:c r="X415" s="32"/>
      <x:c r="Y415" s="43" t="str">
        <x:f>IF(OR(X415="",X415="Pending"),"",IF(X415="Rejected",0,IF(AND(U415="Ya",V415="Ya",W415="Ya"),1,"")))</x:f>
      </x:c>
      <x:c r="AA415" s="32"/>
      <x:c r="AB415" s="32"/>
      <x:c r="AC415" s="32"/>
      <x:c r="AD415" s="32"/>
      <x:c r="AE415" s="32"/>
      <x:c r="AF415" s="32"/>
      <x:c r="AG415" s="33" t="str">
        <x:f>IF(OR(AE415="",AF415=""),"",IF(AE415="Positif",IF(AF415="Positif","TP","FN"),IF(AF415="Positif","FP","TN")))</x:f>
      </x:c>
    </x:row>
    <x:row r="416">
      <x:c r="A416" s="32"/>
      <x:c r="B416" s="32"/>
      <x:c r="C416" s="32"/>
      <x:c r="D416" s="35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7"/>
      <x:c r="O416" s="32"/>
      <x:c r="P416" s="40"/>
      <x:c r="Q416" s="40"/>
      <x:c r="R416" s="41" t="str">
        <x:f>IF(OR(P416="",Q416=""),"",P416-Q416)</x:f>
      </x:c>
      <x:c r="S416" s="32"/>
      <x:c r="T416" s="32"/>
      <x:c r="U416" s="32"/>
      <x:c r="V416" s="32"/>
      <x:c r="W416" s="32"/>
      <x:c r="X416" s="32"/>
      <x:c r="Y416" s="43" t="str">
        <x:f>IF(OR(X416="",X416="Pending"),"",IF(X416="Rejected",0,IF(AND(U416="Ya",V416="Ya",W416="Ya"),1,"")))</x:f>
      </x:c>
      <x:c r="AA416" s="32"/>
      <x:c r="AB416" s="32"/>
      <x:c r="AC416" s="32"/>
      <x:c r="AD416" s="32"/>
      <x:c r="AE416" s="32"/>
      <x:c r="AF416" s="32"/>
      <x:c r="AG416" s="33" t="str">
        <x:f>IF(OR(AE416="",AF416=""),"",IF(AE416="Positif",IF(AF416="Positif","TP","FN"),IF(AF416="Positif","FP","TN")))</x:f>
      </x:c>
    </x:row>
    <x:row r="417">
      <x:c r="A417" s="32"/>
      <x:c r="B417" s="32"/>
      <x:c r="C417" s="32"/>
      <x:c r="D417" s="35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7"/>
      <x:c r="O417" s="32"/>
      <x:c r="P417" s="40"/>
      <x:c r="Q417" s="40"/>
      <x:c r="R417" s="41" t="str">
        <x:f>IF(OR(P417="",Q417=""),"",P417-Q417)</x:f>
      </x:c>
      <x:c r="S417" s="32"/>
      <x:c r="T417" s="32"/>
      <x:c r="U417" s="32"/>
      <x:c r="V417" s="32"/>
      <x:c r="W417" s="32"/>
      <x:c r="X417" s="32"/>
      <x:c r="Y417" s="43" t="str">
        <x:f>IF(OR(X417="",X417="Pending"),"",IF(X417="Rejected",0,IF(AND(U417="Ya",V417="Ya",W417="Ya"),1,"")))</x:f>
      </x:c>
      <x:c r="AA417" s="32"/>
      <x:c r="AB417" s="32"/>
      <x:c r="AC417" s="32"/>
      <x:c r="AD417" s="32"/>
      <x:c r="AE417" s="32"/>
      <x:c r="AF417" s="32"/>
      <x:c r="AG417" s="33" t="str">
        <x:f>IF(OR(AE417="",AF417=""),"",IF(AE417="Positif",IF(AF417="Positif","TP","FN"),IF(AF417="Positif","FP","TN")))</x:f>
      </x:c>
    </x:row>
    <x:row r="418">
      <x:c r="A418" s="32"/>
      <x:c r="B418" s="32"/>
      <x:c r="C418" s="32"/>
      <x:c r="D418" s="35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7"/>
      <x:c r="O418" s="32"/>
      <x:c r="P418" s="40"/>
      <x:c r="Q418" s="40"/>
      <x:c r="R418" s="41" t="str">
        <x:f>IF(OR(P418="",Q418=""),"",P418-Q418)</x:f>
      </x:c>
      <x:c r="S418" s="32"/>
      <x:c r="T418" s="32"/>
      <x:c r="U418" s="32"/>
      <x:c r="V418" s="32"/>
      <x:c r="W418" s="32"/>
      <x:c r="X418" s="32"/>
      <x:c r="Y418" s="43" t="str">
        <x:f>IF(OR(X418="",X418="Pending"),"",IF(X418="Rejected",0,IF(AND(U418="Ya",V418="Ya",W418="Ya"),1,"")))</x:f>
      </x:c>
      <x:c r="AA418" s="32"/>
      <x:c r="AB418" s="32"/>
      <x:c r="AC418" s="32"/>
      <x:c r="AD418" s="32"/>
      <x:c r="AE418" s="32"/>
      <x:c r="AF418" s="32"/>
      <x:c r="AG418" s="33" t="str">
        <x:f>IF(OR(AE418="",AF418=""),"",IF(AE418="Positif",IF(AF418="Positif","TP","FN"),IF(AF418="Positif","FP","TN")))</x:f>
      </x:c>
    </x:row>
    <x:row r="419">
      <x:c r="A419" s="32"/>
      <x:c r="B419" s="32"/>
      <x:c r="C419" s="32"/>
      <x:c r="D419" s="35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7"/>
      <x:c r="O419" s="32"/>
      <x:c r="P419" s="40"/>
      <x:c r="Q419" s="40"/>
      <x:c r="R419" s="41" t="str">
        <x:f>IF(OR(P419="",Q419=""),"",P419-Q419)</x:f>
      </x:c>
      <x:c r="S419" s="32"/>
      <x:c r="T419" s="32"/>
      <x:c r="U419" s="32"/>
      <x:c r="V419" s="32"/>
      <x:c r="W419" s="32"/>
      <x:c r="X419" s="32"/>
      <x:c r="Y419" s="43" t="str">
        <x:f>IF(OR(X419="",X419="Pending"),"",IF(X419="Rejected",0,IF(AND(U419="Ya",V419="Ya",W419="Ya"),1,"")))</x:f>
      </x:c>
      <x:c r="AA419" s="32"/>
      <x:c r="AB419" s="32"/>
      <x:c r="AC419" s="32"/>
      <x:c r="AD419" s="32"/>
      <x:c r="AE419" s="32"/>
      <x:c r="AF419" s="32"/>
      <x:c r="AG419" s="33" t="str">
        <x:f>IF(OR(AE419="",AF419=""),"",IF(AE419="Positif",IF(AF419="Positif","TP","FN"),IF(AF419="Positif","FP","TN")))</x:f>
      </x:c>
    </x:row>
    <x:row r="420">
      <x:c r="A420" s="32"/>
      <x:c r="B420" s="32"/>
      <x:c r="C420" s="32"/>
      <x:c r="D420" s="35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7"/>
      <x:c r="O420" s="32"/>
      <x:c r="P420" s="40"/>
      <x:c r="Q420" s="40"/>
      <x:c r="R420" s="41" t="str">
        <x:f>IF(OR(P420="",Q420=""),"",P420-Q420)</x:f>
      </x:c>
      <x:c r="S420" s="32"/>
      <x:c r="T420" s="32"/>
      <x:c r="U420" s="32"/>
      <x:c r="V420" s="32"/>
      <x:c r="W420" s="32"/>
      <x:c r="X420" s="32"/>
      <x:c r="Y420" s="43" t="str">
        <x:f>IF(OR(X420="",X420="Pending"),"",IF(X420="Rejected",0,IF(AND(U420="Ya",V420="Ya",W420="Ya"),1,"")))</x:f>
      </x:c>
      <x:c r="AA420" s="32"/>
      <x:c r="AB420" s="32"/>
      <x:c r="AC420" s="32"/>
      <x:c r="AD420" s="32"/>
      <x:c r="AE420" s="32"/>
      <x:c r="AF420" s="32"/>
      <x:c r="AG420" s="33" t="str">
        <x:f>IF(OR(AE420="",AF420=""),"",IF(AE420="Positif",IF(AF420="Positif","TP","FN"),IF(AF420="Positif","FP","TN")))</x:f>
      </x:c>
    </x:row>
    <x:row r="421">
      <x:c r="A421" s="32"/>
      <x:c r="B421" s="32"/>
      <x:c r="C421" s="32"/>
      <x:c r="D421" s="35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7"/>
      <x:c r="O421" s="32"/>
      <x:c r="P421" s="40"/>
      <x:c r="Q421" s="40"/>
      <x:c r="R421" s="41" t="str">
        <x:f>IF(OR(P421="",Q421=""),"",P421-Q421)</x:f>
      </x:c>
      <x:c r="S421" s="32"/>
      <x:c r="T421" s="32"/>
      <x:c r="U421" s="32"/>
      <x:c r="V421" s="32"/>
      <x:c r="W421" s="32"/>
      <x:c r="X421" s="32"/>
      <x:c r="Y421" s="43" t="str">
        <x:f>IF(OR(X421="",X421="Pending"),"",IF(X421="Rejected",0,IF(AND(U421="Ya",V421="Ya",W421="Ya"),1,"")))</x:f>
      </x:c>
      <x:c r="AA421" s="32"/>
      <x:c r="AB421" s="32"/>
      <x:c r="AC421" s="32"/>
      <x:c r="AD421" s="32"/>
      <x:c r="AE421" s="32"/>
      <x:c r="AF421" s="32"/>
      <x:c r="AG421" s="33" t="str">
        <x:f>IF(OR(AE421="",AF421=""),"",IF(AE421="Positif",IF(AF421="Positif","TP","FN"),IF(AF421="Positif","FP","TN")))</x:f>
      </x:c>
    </x:row>
    <x:row r="422">
      <x:c r="A422" s="32"/>
      <x:c r="B422" s="32"/>
      <x:c r="C422" s="32"/>
      <x:c r="D422" s="35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7"/>
      <x:c r="O422" s="32"/>
      <x:c r="P422" s="40"/>
      <x:c r="Q422" s="40"/>
      <x:c r="R422" s="41" t="str">
        <x:f>IF(OR(P422="",Q422=""),"",P422-Q422)</x:f>
      </x:c>
      <x:c r="S422" s="32"/>
      <x:c r="T422" s="32"/>
      <x:c r="U422" s="32"/>
      <x:c r="V422" s="32"/>
      <x:c r="W422" s="32"/>
      <x:c r="X422" s="32"/>
      <x:c r="Y422" s="43" t="str">
        <x:f>IF(OR(X422="",X422="Pending"),"",IF(X422="Rejected",0,IF(AND(U422="Ya",V422="Ya",W422="Ya"),1,"")))</x:f>
      </x:c>
      <x:c r="AA422" s="32"/>
      <x:c r="AB422" s="32"/>
      <x:c r="AC422" s="32"/>
      <x:c r="AD422" s="32"/>
      <x:c r="AE422" s="32"/>
      <x:c r="AF422" s="32"/>
      <x:c r="AG422" s="33" t="str">
        <x:f>IF(OR(AE422="",AF422=""),"",IF(AE422="Positif",IF(AF422="Positif","TP","FN"),IF(AF422="Positif","FP","TN")))</x:f>
      </x:c>
    </x:row>
    <x:row r="423">
      <x:c r="A423" s="32"/>
      <x:c r="B423" s="32"/>
      <x:c r="C423" s="32"/>
      <x:c r="D423" s="35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7"/>
      <x:c r="O423" s="32"/>
      <x:c r="P423" s="40"/>
      <x:c r="Q423" s="40"/>
      <x:c r="R423" s="41" t="str">
        <x:f>IF(OR(P423="",Q423=""),"",P423-Q423)</x:f>
      </x:c>
      <x:c r="S423" s="32"/>
      <x:c r="T423" s="32"/>
      <x:c r="U423" s="32"/>
      <x:c r="V423" s="32"/>
      <x:c r="W423" s="32"/>
      <x:c r="X423" s="32"/>
      <x:c r="Y423" s="43" t="str">
        <x:f>IF(OR(X423="",X423="Pending"),"",IF(X423="Rejected",0,IF(AND(U423="Ya",V423="Ya",W423="Ya"),1,"")))</x:f>
      </x:c>
      <x:c r="AA423" s="32"/>
      <x:c r="AB423" s="32"/>
      <x:c r="AC423" s="32"/>
      <x:c r="AD423" s="32"/>
      <x:c r="AE423" s="32"/>
      <x:c r="AF423" s="32"/>
      <x:c r="AG423" s="33" t="str">
        <x:f>IF(OR(AE423="",AF423=""),"",IF(AE423="Positif",IF(AF423="Positif","TP","FN"),IF(AF423="Positif","FP","TN")))</x:f>
      </x:c>
    </x:row>
    <x:row r="424">
      <x:c r="A424" s="32"/>
      <x:c r="B424" s="32"/>
      <x:c r="C424" s="32"/>
      <x:c r="D424" s="35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7"/>
      <x:c r="O424" s="32"/>
      <x:c r="P424" s="40"/>
      <x:c r="Q424" s="40"/>
      <x:c r="R424" s="41" t="str">
        <x:f>IF(OR(P424="",Q424=""),"",P424-Q424)</x:f>
      </x:c>
      <x:c r="S424" s="32"/>
      <x:c r="T424" s="32"/>
      <x:c r="U424" s="32"/>
      <x:c r="V424" s="32"/>
      <x:c r="W424" s="32"/>
      <x:c r="X424" s="32"/>
      <x:c r="Y424" s="43" t="str">
        <x:f>IF(OR(X424="",X424="Pending"),"",IF(X424="Rejected",0,IF(AND(U424="Ya",V424="Ya",W424="Ya"),1,"")))</x:f>
      </x:c>
      <x:c r="AA424" s="32"/>
      <x:c r="AB424" s="32"/>
      <x:c r="AC424" s="32"/>
      <x:c r="AD424" s="32"/>
      <x:c r="AE424" s="32"/>
      <x:c r="AF424" s="32"/>
      <x:c r="AG424" s="33" t="str">
        <x:f>IF(OR(AE424="",AF424=""),"",IF(AE424="Positif",IF(AF424="Positif","TP","FN"),IF(AF424="Positif","FP","TN")))</x:f>
      </x:c>
    </x:row>
    <x:row r="425">
      <x:c r="A425" s="32"/>
      <x:c r="B425" s="32"/>
      <x:c r="C425" s="32"/>
      <x:c r="D425" s="35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7"/>
      <x:c r="O425" s="32"/>
      <x:c r="P425" s="40"/>
      <x:c r="Q425" s="40"/>
      <x:c r="R425" s="41" t="str">
        <x:f>IF(OR(P425="",Q425=""),"",P425-Q425)</x:f>
      </x:c>
      <x:c r="S425" s="32"/>
      <x:c r="T425" s="32"/>
      <x:c r="U425" s="32"/>
      <x:c r="V425" s="32"/>
      <x:c r="W425" s="32"/>
      <x:c r="X425" s="32"/>
      <x:c r="Y425" s="43" t="str">
        <x:f>IF(OR(X425="",X425="Pending"),"",IF(X425="Rejected",0,IF(AND(U425="Ya",V425="Ya",W425="Ya"),1,"")))</x:f>
      </x:c>
      <x:c r="AA425" s="32"/>
      <x:c r="AB425" s="32"/>
      <x:c r="AC425" s="32"/>
      <x:c r="AD425" s="32"/>
      <x:c r="AE425" s="32"/>
      <x:c r="AF425" s="32"/>
      <x:c r="AG425" s="33" t="str">
        <x:f>IF(OR(AE425="",AF425=""),"",IF(AE425="Positif",IF(AF425="Positif","TP","FN"),IF(AF425="Positif","FP","TN")))</x:f>
      </x:c>
    </x:row>
    <x:row r="426">
      <x:c r="A426" s="32"/>
      <x:c r="B426" s="32"/>
      <x:c r="C426" s="32"/>
      <x:c r="D426" s="35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7"/>
      <x:c r="O426" s="32"/>
      <x:c r="P426" s="40"/>
      <x:c r="Q426" s="40"/>
      <x:c r="R426" s="41" t="str">
        <x:f>IF(OR(P426="",Q426=""),"",P426-Q426)</x:f>
      </x:c>
      <x:c r="S426" s="32"/>
      <x:c r="T426" s="32"/>
      <x:c r="U426" s="32"/>
      <x:c r="V426" s="32"/>
      <x:c r="W426" s="32"/>
      <x:c r="X426" s="32"/>
      <x:c r="Y426" s="43" t="str">
        <x:f>IF(OR(X426="",X426="Pending"),"",IF(X426="Rejected",0,IF(AND(U426="Ya",V426="Ya",W426="Ya"),1,"")))</x:f>
      </x:c>
      <x:c r="AA426" s="32"/>
      <x:c r="AB426" s="32"/>
      <x:c r="AC426" s="32"/>
      <x:c r="AD426" s="32"/>
      <x:c r="AE426" s="32"/>
      <x:c r="AF426" s="32"/>
      <x:c r="AG426" s="33" t="str">
        <x:f>IF(OR(AE426="",AF426=""),"",IF(AE426="Positif",IF(AF426="Positif","TP","FN"),IF(AF426="Positif","FP","TN")))</x:f>
      </x:c>
    </x:row>
    <x:row r="427">
      <x:c r="A427" s="32"/>
      <x:c r="B427" s="32"/>
      <x:c r="C427" s="32"/>
      <x:c r="D427" s="35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7"/>
      <x:c r="O427" s="32"/>
      <x:c r="P427" s="40"/>
      <x:c r="Q427" s="40"/>
      <x:c r="R427" s="41" t="str">
        <x:f>IF(OR(P427="",Q427=""),"",P427-Q427)</x:f>
      </x:c>
      <x:c r="S427" s="32"/>
      <x:c r="T427" s="32"/>
      <x:c r="U427" s="32"/>
      <x:c r="V427" s="32"/>
      <x:c r="W427" s="32"/>
      <x:c r="X427" s="32"/>
      <x:c r="Y427" s="43" t="str">
        <x:f>IF(OR(X427="",X427="Pending"),"",IF(X427="Rejected",0,IF(AND(U427="Ya",V427="Ya",W427="Ya"),1,"")))</x:f>
      </x:c>
      <x:c r="AA427" s="32"/>
      <x:c r="AB427" s="32"/>
      <x:c r="AC427" s="32"/>
      <x:c r="AD427" s="32"/>
      <x:c r="AE427" s="32"/>
      <x:c r="AF427" s="32"/>
      <x:c r="AG427" s="33" t="str">
        <x:f>IF(OR(AE427="",AF427=""),"",IF(AE427="Positif",IF(AF427="Positif","TP","FN"),IF(AF427="Positif","FP","TN")))</x:f>
      </x:c>
    </x:row>
    <x:row r="428">
      <x:c r="A428" s="32"/>
      <x:c r="B428" s="32"/>
      <x:c r="C428" s="32"/>
      <x:c r="D428" s="35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7"/>
      <x:c r="O428" s="32"/>
      <x:c r="P428" s="40"/>
      <x:c r="Q428" s="40"/>
      <x:c r="R428" s="41" t="str">
        <x:f>IF(OR(P428="",Q428=""),"",P428-Q428)</x:f>
      </x:c>
      <x:c r="S428" s="32"/>
      <x:c r="T428" s="32"/>
      <x:c r="U428" s="32"/>
      <x:c r="V428" s="32"/>
      <x:c r="W428" s="32"/>
      <x:c r="X428" s="32"/>
      <x:c r="Y428" s="43" t="str">
        <x:f>IF(OR(X428="",X428="Pending"),"",IF(X428="Rejected",0,IF(AND(U428="Ya",V428="Ya",W428="Ya"),1,"")))</x:f>
      </x:c>
      <x:c r="AA428" s="32"/>
      <x:c r="AB428" s="32"/>
      <x:c r="AC428" s="32"/>
      <x:c r="AD428" s="32"/>
      <x:c r="AE428" s="32"/>
      <x:c r="AF428" s="32"/>
      <x:c r="AG428" s="33" t="str">
        <x:f>IF(OR(AE428="",AF428=""),"",IF(AE428="Positif",IF(AF428="Positif","TP","FN"),IF(AF428="Positif","FP","TN")))</x:f>
      </x:c>
    </x:row>
    <x:row r="429">
      <x:c r="A429" s="32"/>
      <x:c r="B429" s="32"/>
      <x:c r="C429" s="32"/>
      <x:c r="D429" s="35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7"/>
      <x:c r="O429" s="32"/>
      <x:c r="P429" s="40"/>
      <x:c r="Q429" s="40"/>
      <x:c r="R429" s="41" t="str">
        <x:f>IF(OR(P429="",Q429=""),"",P429-Q429)</x:f>
      </x:c>
      <x:c r="S429" s="32"/>
      <x:c r="T429" s="32"/>
      <x:c r="U429" s="32"/>
      <x:c r="V429" s="32"/>
      <x:c r="W429" s="32"/>
      <x:c r="X429" s="32"/>
      <x:c r="Y429" s="43" t="str">
        <x:f>IF(OR(X429="",X429="Pending"),"",IF(X429="Rejected",0,IF(AND(U429="Ya",V429="Ya",W429="Ya"),1,"")))</x:f>
      </x:c>
      <x:c r="AA429" s="32"/>
      <x:c r="AB429" s="32"/>
      <x:c r="AC429" s="32"/>
      <x:c r="AD429" s="32"/>
      <x:c r="AE429" s="32"/>
      <x:c r="AF429" s="32"/>
      <x:c r="AG429" s="33" t="str">
        <x:f>IF(OR(AE429="",AF429=""),"",IF(AE429="Positif",IF(AF429="Positif","TP","FN"),IF(AF429="Positif","FP","TN")))</x:f>
      </x:c>
    </x:row>
    <x:row r="430">
      <x:c r="A430" s="32"/>
      <x:c r="B430" s="32"/>
      <x:c r="C430" s="32"/>
      <x:c r="D430" s="35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7"/>
      <x:c r="O430" s="32"/>
      <x:c r="P430" s="40"/>
      <x:c r="Q430" s="40"/>
      <x:c r="R430" s="41" t="str">
        <x:f>IF(OR(P430="",Q430=""),"",P430-Q430)</x:f>
      </x:c>
      <x:c r="S430" s="32"/>
      <x:c r="T430" s="32"/>
      <x:c r="U430" s="32"/>
      <x:c r="V430" s="32"/>
      <x:c r="W430" s="32"/>
      <x:c r="X430" s="32"/>
      <x:c r="Y430" s="43" t="str">
        <x:f>IF(OR(X430="",X430="Pending"),"",IF(X430="Rejected",0,IF(AND(U430="Ya",V430="Ya",W430="Ya"),1,"")))</x:f>
      </x:c>
      <x:c r="AA430" s="32"/>
      <x:c r="AB430" s="32"/>
      <x:c r="AC430" s="32"/>
      <x:c r="AD430" s="32"/>
      <x:c r="AE430" s="32"/>
      <x:c r="AF430" s="32"/>
      <x:c r="AG430" s="33" t="str">
        <x:f>IF(OR(AE430="",AF430=""),"",IF(AE430="Positif",IF(AF430="Positif","TP","FN"),IF(AF430="Positif","FP","TN")))</x:f>
      </x:c>
    </x:row>
    <x:row r="431">
      <x:c r="A431" s="32"/>
      <x:c r="B431" s="32"/>
      <x:c r="C431" s="32"/>
      <x:c r="D431" s="35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7"/>
      <x:c r="O431" s="32"/>
      <x:c r="P431" s="40"/>
      <x:c r="Q431" s="40"/>
      <x:c r="R431" s="41" t="str">
        <x:f>IF(OR(P431="",Q431=""),"",P431-Q431)</x:f>
      </x:c>
      <x:c r="S431" s="32"/>
      <x:c r="T431" s="32"/>
      <x:c r="U431" s="32"/>
      <x:c r="V431" s="32"/>
      <x:c r="W431" s="32"/>
      <x:c r="X431" s="32"/>
      <x:c r="Y431" s="43" t="str">
        <x:f>IF(OR(X431="",X431="Pending"),"",IF(X431="Rejected",0,IF(AND(U431="Ya",V431="Ya",W431="Ya"),1,"")))</x:f>
      </x:c>
      <x:c r="AA431" s="32"/>
      <x:c r="AB431" s="32"/>
      <x:c r="AC431" s="32"/>
      <x:c r="AD431" s="32"/>
      <x:c r="AE431" s="32"/>
      <x:c r="AF431" s="32"/>
      <x:c r="AG431" s="33" t="str">
        <x:f>IF(OR(AE431="",AF431=""),"",IF(AE431="Positif",IF(AF431="Positif","TP","FN"),IF(AF431="Positif","FP","TN")))</x:f>
      </x:c>
    </x:row>
    <x:row r="432">
      <x:c r="A432" s="32"/>
      <x:c r="B432" s="32"/>
      <x:c r="C432" s="32"/>
      <x:c r="D432" s="35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7"/>
      <x:c r="O432" s="32"/>
      <x:c r="P432" s="40"/>
      <x:c r="Q432" s="40"/>
      <x:c r="R432" s="41" t="str">
        <x:f>IF(OR(P432="",Q432=""),"",P432-Q432)</x:f>
      </x:c>
      <x:c r="S432" s="32"/>
      <x:c r="T432" s="32"/>
      <x:c r="U432" s="32"/>
      <x:c r="V432" s="32"/>
      <x:c r="W432" s="32"/>
      <x:c r="X432" s="32"/>
      <x:c r="Y432" s="43" t="str">
        <x:f>IF(OR(X432="",X432="Pending"),"",IF(X432="Rejected",0,IF(AND(U432="Ya",V432="Ya",W432="Ya"),1,"")))</x:f>
      </x:c>
      <x:c r="AA432" s="32"/>
      <x:c r="AB432" s="32"/>
      <x:c r="AC432" s="32"/>
      <x:c r="AD432" s="32"/>
      <x:c r="AE432" s="32"/>
      <x:c r="AF432" s="32"/>
      <x:c r="AG432" s="33" t="str">
        <x:f>IF(OR(AE432="",AF432=""),"",IF(AE432="Positif",IF(AF432="Positif","TP","FN"),IF(AF432="Positif","FP","TN")))</x:f>
      </x:c>
    </x:row>
    <x:row r="433">
      <x:c r="A433" s="32"/>
      <x:c r="B433" s="32"/>
      <x:c r="C433" s="32"/>
      <x:c r="D433" s="35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7"/>
      <x:c r="O433" s="32"/>
      <x:c r="P433" s="40"/>
      <x:c r="Q433" s="40"/>
      <x:c r="R433" s="41" t="str">
        <x:f>IF(OR(P433="",Q433=""),"",P433-Q433)</x:f>
      </x:c>
      <x:c r="S433" s="32"/>
      <x:c r="T433" s="32"/>
      <x:c r="U433" s="32"/>
      <x:c r="V433" s="32"/>
      <x:c r="W433" s="32"/>
      <x:c r="X433" s="32"/>
      <x:c r="Y433" s="43" t="str">
        <x:f>IF(OR(X433="",X433="Pending"),"",IF(X433="Rejected",0,IF(AND(U433="Ya",V433="Ya",W433="Ya"),1,"")))</x:f>
      </x:c>
      <x:c r="AA433" s="32"/>
      <x:c r="AB433" s="32"/>
      <x:c r="AC433" s="32"/>
      <x:c r="AD433" s="32"/>
      <x:c r="AE433" s="32"/>
      <x:c r="AF433" s="32"/>
      <x:c r="AG433" s="33" t="str">
        <x:f>IF(OR(AE433="",AF433=""),"",IF(AE433="Positif",IF(AF433="Positif","TP","FN"),IF(AF433="Positif","FP","TN")))</x:f>
      </x:c>
    </x:row>
    <x:row r="434">
      <x:c r="A434" s="32"/>
      <x:c r="B434" s="32"/>
      <x:c r="C434" s="32"/>
      <x:c r="D434" s="35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7"/>
      <x:c r="O434" s="32"/>
      <x:c r="P434" s="40"/>
      <x:c r="Q434" s="40"/>
      <x:c r="R434" s="41" t="str">
        <x:f>IF(OR(P434="",Q434=""),"",P434-Q434)</x:f>
      </x:c>
      <x:c r="S434" s="32"/>
      <x:c r="T434" s="32"/>
      <x:c r="U434" s="32"/>
      <x:c r="V434" s="32"/>
      <x:c r="W434" s="32"/>
      <x:c r="X434" s="32"/>
      <x:c r="Y434" s="43" t="str">
        <x:f>IF(OR(X434="",X434="Pending"),"",IF(X434="Rejected",0,IF(AND(U434="Ya",V434="Ya",W434="Ya"),1,"")))</x:f>
      </x:c>
      <x:c r="AA434" s="32"/>
      <x:c r="AB434" s="32"/>
      <x:c r="AC434" s="32"/>
      <x:c r="AD434" s="32"/>
      <x:c r="AE434" s="32"/>
      <x:c r="AF434" s="32"/>
      <x:c r="AG434" s="33" t="str">
        <x:f>IF(OR(AE434="",AF434=""),"",IF(AE434="Positif",IF(AF434="Positif","TP","FN"),IF(AF434="Positif","FP","TN")))</x:f>
      </x:c>
    </x:row>
    <x:row r="435">
      <x:c r="A435" s="32"/>
      <x:c r="B435" s="32"/>
      <x:c r="C435" s="32"/>
      <x:c r="D435" s="35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7"/>
      <x:c r="O435" s="32"/>
      <x:c r="P435" s="40"/>
      <x:c r="Q435" s="40"/>
      <x:c r="R435" s="41" t="str">
        <x:f>IF(OR(P435="",Q435=""),"",P435-Q435)</x:f>
      </x:c>
      <x:c r="S435" s="32"/>
      <x:c r="T435" s="32"/>
      <x:c r="U435" s="32"/>
      <x:c r="V435" s="32"/>
      <x:c r="W435" s="32"/>
      <x:c r="X435" s="32"/>
      <x:c r="Y435" s="43" t="str">
        <x:f>IF(OR(X435="",X435="Pending"),"",IF(X435="Rejected",0,IF(AND(U435="Ya",V435="Ya",W435="Ya"),1,"")))</x:f>
      </x:c>
      <x:c r="AA435" s="32"/>
      <x:c r="AB435" s="32"/>
      <x:c r="AC435" s="32"/>
      <x:c r="AD435" s="32"/>
      <x:c r="AE435" s="32"/>
      <x:c r="AF435" s="32"/>
      <x:c r="AG435" s="33" t="str">
        <x:f>IF(OR(AE435="",AF435=""),"",IF(AE435="Positif",IF(AF435="Positif","TP","FN"),IF(AF435="Positif","FP","TN")))</x:f>
      </x:c>
    </x:row>
    <x:row r="436">
      <x:c r="A436" s="32"/>
      <x:c r="B436" s="32"/>
      <x:c r="C436" s="32"/>
      <x:c r="D436" s="35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7"/>
      <x:c r="O436" s="32"/>
      <x:c r="P436" s="40"/>
      <x:c r="Q436" s="40"/>
      <x:c r="R436" s="41" t="str">
        <x:f>IF(OR(P436="",Q436=""),"",P436-Q436)</x:f>
      </x:c>
      <x:c r="S436" s="32"/>
      <x:c r="T436" s="32"/>
      <x:c r="U436" s="32"/>
      <x:c r="V436" s="32"/>
      <x:c r="W436" s="32"/>
      <x:c r="X436" s="32"/>
      <x:c r="Y436" s="43" t="str">
        <x:f>IF(OR(X436="",X436="Pending"),"",IF(X436="Rejected",0,IF(AND(U436="Ya",V436="Ya",W436="Ya"),1,"")))</x:f>
      </x:c>
      <x:c r="AA436" s="32"/>
      <x:c r="AB436" s="32"/>
      <x:c r="AC436" s="32"/>
      <x:c r="AD436" s="32"/>
      <x:c r="AE436" s="32"/>
      <x:c r="AF436" s="32"/>
      <x:c r="AG436" s="33" t="str">
        <x:f>IF(OR(AE436="",AF436=""),"",IF(AE436="Positif",IF(AF436="Positif","TP","FN"),IF(AF436="Positif","FP","TN")))</x:f>
      </x:c>
    </x:row>
    <x:row r="437">
      <x:c r="A437" s="32"/>
      <x:c r="B437" s="32"/>
      <x:c r="C437" s="32"/>
      <x:c r="D437" s="35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7"/>
      <x:c r="O437" s="32"/>
      <x:c r="P437" s="40"/>
      <x:c r="Q437" s="40"/>
      <x:c r="R437" s="41" t="str">
        <x:f>IF(OR(P437="",Q437=""),"",P437-Q437)</x:f>
      </x:c>
      <x:c r="S437" s="32"/>
      <x:c r="T437" s="32"/>
      <x:c r="U437" s="32"/>
      <x:c r="V437" s="32"/>
      <x:c r="W437" s="32"/>
      <x:c r="X437" s="32"/>
      <x:c r="Y437" s="43" t="str">
        <x:f>IF(OR(X437="",X437="Pending"),"",IF(X437="Rejected",0,IF(AND(U437="Ya",V437="Ya",W437="Ya"),1,"")))</x:f>
      </x:c>
      <x:c r="AA437" s="32"/>
      <x:c r="AB437" s="32"/>
      <x:c r="AC437" s="32"/>
      <x:c r="AD437" s="32"/>
      <x:c r="AE437" s="32"/>
      <x:c r="AF437" s="32"/>
      <x:c r="AG437" s="33" t="str">
        <x:f>IF(OR(AE437="",AF437=""),"",IF(AE437="Positif",IF(AF437="Positif","TP","FN"),IF(AF437="Positif","FP","TN")))</x:f>
      </x:c>
    </x:row>
    <x:row r="438">
      <x:c r="A438" s="32"/>
      <x:c r="B438" s="32"/>
      <x:c r="C438" s="32"/>
      <x:c r="D438" s="35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7"/>
      <x:c r="O438" s="32"/>
      <x:c r="P438" s="40"/>
      <x:c r="Q438" s="40"/>
      <x:c r="R438" s="41" t="str">
        <x:f>IF(OR(P438="",Q438=""),"",P438-Q438)</x:f>
      </x:c>
      <x:c r="S438" s="32"/>
      <x:c r="T438" s="32"/>
      <x:c r="U438" s="32"/>
      <x:c r="V438" s="32"/>
      <x:c r="W438" s="32"/>
      <x:c r="X438" s="32"/>
      <x:c r="Y438" s="43" t="str">
        <x:f>IF(OR(X438="",X438="Pending"),"",IF(X438="Rejected",0,IF(AND(U438="Ya",V438="Ya",W438="Ya"),1,"")))</x:f>
      </x:c>
      <x:c r="AA438" s="32"/>
      <x:c r="AB438" s="32"/>
      <x:c r="AC438" s="32"/>
      <x:c r="AD438" s="32"/>
      <x:c r="AE438" s="32"/>
      <x:c r="AF438" s="32"/>
      <x:c r="AG438" s="33" t="str">
        <x:f>IF(OR(AE438="",AF438=""),"",IF(AE438="Positif",IF(AF438="Positif","TP","FN"),IF(AF438="Positif","FP","TN")))</x:f>
      </x:c>
    </x:row>
    <x:row r="439">
      <x:c r="A439" s="32"/>
      <x:c r="B439" s="32"/>
      <x:c r="C439" s="32"/>
      <x:c r="D439" s="35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7"/>
      <x:c r="O439" s="32"/>
      <x:c r="P439" s="40"/>
      <x:c r="Q439" s="40"/>
      <x:c r="R439" s="41" t="str">
        <x:f>IF(OR(P439="",Q439=""),"",P439-Q439)</x:f>
      </x:c>
      <x:c r="S439" s="32"/>
      <x:c r="T439" s="32"/>
      <x:c r="U439" s="32"/>
      <x:c r="V439" s="32"/>
      <x:c r="W439" s="32"/>
      <x:c r="X439" s="32"/>
      <x:c r="Y439" s="43" t="str">
        <x:f>IF(OR(X439="",X439="Pending"),"",IF(X439="Rejected",0,IF(AND(U439="Ya",V439="Ya",W439="Ya"),1,"")))</x:f>
      </x:c>
      <x:c r="AA439" s="32"/>
      <x:c r="AB439" s="32"/>
      <x:c r="AC439" s="32"/>
      <x:c r="AD439" s="32"/>
      <x:c r="AE439" s="32"/>
      <x:c r="AF439" s="32"/>
      <x:c r="AG439" s="33" t="str">
        <x:f>IF(OR(AE439="",AF439=""),"",IF(AE439="Positif",IF(AF439="Positif","TP","FN"),IF(AF439="Positif","FP","TN")))</x:f>
      </x:c>
    </x:row>
    <x:row r="440">
      <x:c r="A440" s="32"/>
      <x:c r="B440" s="32"/>
      <x:c r="C440" s="32"/>
      <x:c r="D440" s="35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7"/>
      <x:c r="O440" s="32"/>
      <x:c r="P440" s="40"/>
      <x:c r="Q440" s="40"/>
      <x:c r="R440" s="41" t="str">
        <x:f>IF(OR(P440="",Q440=""),"",P440-Q440)</x:f>
      </x:c>
      <x:c r="S440" s="32"/>
      <x:c r="T440" s="32"/>
      <x:c r="U440" s="32"/>
      <x:c r="V440" s="32"/>
      <x:c r="W440" s="32"/>
      <x:c r="X440" s="32"/>
      <x:c r="Y440" s="43" t="str">
        <x:f>IF(OR(X440="",X440="Pending"),"",IF(X440="Rejected",0,IF(AND(U440="Ya",V440="Ya",W440="Ya"),1,"")))</x:f>
      </x:c>
      <x:c r="AA440" s="32"/>
      <x:c r="AB440" s="32"/>
      <x:c r="AC440" s="32"/>
      <x:c r="AD440" s="32"/>
      <x:c r="AE440" s="32"/>
      <x:c r="AF440" s="32"/>
      <x:c r="AG440" s="33" t="str">
        <x:f>IF(OR(AE440="",AF440=""),"",IF(AE440="Positif",IF(AF440="Positif","TP","FN"),IF(AF440="Positif","FP","TN")))</x:f>
      </x:c>
    </x:row>
    <x:row r="441">
      <x:c r="A441" s="32"/>
      <x:c r="B441" s="32"/>
      <x:c r="C441" s="32"/>
      <x:c r="D441" s="35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7"/>
      <x:c r="O441" s="32"/>
      <x:c r="P441" s="40"/>
      <x:c r="Q441" s="40"/>
      <x:c r="R441" s="41" t="str">
        <x:f>IF(OR(P441="",Q441=""),"",P441-Q441)</x:f>
      </x:c>
      <x:c r="S441" s="32"/>
      <x:c r="T441" s="32"/>
      <x:c r="U441" s="32"/>
      <x:c r="V441" s="32"/>
      <x:c r="W441" s="32"/>
      <x:c r="X441" s="32"/>
      <x:c r="Y441" s="43" t="str">
        <x:f>IF(OR(X441="",X441="Pending"),"",IF(X441="Rejected",0,IF(AND(U441="Ya",V441="Ya",W441="Ya"),1,"")))</x:f>
      </x:c>
      <x:c r="AA441" s="32"/>
      <x:c r="AB441" s="32"/>
      <x:c r="AC441" s="32"/>
      <x:c r="AD441" s="32"/>
      <x:c r="AE441" s="32"/>
      <x:c r="AF441" s="32"/>
      <x:c r="AG441" s="33" t="str">
        <x:f>IF(OR(AE441="",AF441=""),"",IF(AE441="Positif",IF(AF441="Positif","TP","FN"),IF(AF441="Positif","FP","TN")))</x:f>
      </x:c>
    </x:row>
    <x:row r="442">
      <x:c r="A442" s="32"/>
      <x:c r="B442" s="32"/>
      <x:c r="C442" s="32"/>
      <x:c r="D442" s="35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7"/>
      <x:c r="O442" s="32"/>
      <x:c r="P442" s="40"/>
      <x:c r="Q442" s="40"/>
      <x:c r="R442" s="41" t="str">
        <x:f>IF(OR(P442="",Q442=""),"",P442-Q442)</x:f>
      </x:c>
      <x:c r="S442" s="32"/>
      <x:c r="T442" s="32"/>
      <x:c r="U442" s="32"/>
      <x:c r="V442" s="32"/>
      <x:c r="W442" s="32"/>
      <x:c r="X442" s="32"/>
      <x:c r="Y442" s="43" t="str">
        <x:f>IF(OR(X442="",X442="Pending"),"",IF(X442="Rejected",0,IF(AND(U442="Ya",V442="Ya",W442="Ya"),1,"")))</x:f>
      </x:c>
      <x:c r="AA442" s="32"/>
      <x:c r="AB442" s="32"/>
      <x:c r="AC442" s="32"/>
      <x:c r="AD442" s="32"/>
      <x:c r="AE442" s="32"/>
      <x:c r="AF442" s="32"/>
      <x:c r="AG442" s="33" t="str">
        <x:f>IF(OR(AE442="",AF442=""),"",IF(AE442="Positif",IF(AF442="Positif","TP","FN"),IF(AF442="Positif","FP","TN")))</x:f>
      </x:c>
    </x:row>
    <x:row r="443">
      <x:c r="A443" s="32"/>
      <x:c r="B443" s="32"/>
      <x:c r="C443" s="32"/>
      <x:c r="D443" s="35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7"/>
      <x:c r="O443" s="32"/>
      <x:c r="P443" s="40"/>
      <x:c r="Q443" s="40"/>
      <x:c r="R443" s="41" t="str">
        <x:f>IF(OR(P443="",Q443=""),"",P443-Q443)</x:f>
      </x:c>
      <x:c r="S443" s="32"/>
      <x:c r="T443" s="32"/>
      <x:c r="U443" s="32"/>
      <x:c r="V443" s="32"/>
      <x:c r="W443" s="32"/>
      <x:c r="X443" s="32"/>
      <x:c r="Y443" s="43" t="str">
        <x:f>IF(OR(X443="",X443="Pending"),"",IF(X443="Rejected",0,IF(AND(U443="Ya",V443="Ya",W443="Ya"),1,"")))</x:f>
      </x:c>
      <x:c r="AA443" s="32"/>
      <x:c r="AB443" s="32"/>
      <x:c r="AC443" s="32"/>
      <x:c r="AD443" s="32"/>
      <x:c r="AE443" s="32"/>
      <x:c r="AF443" s="32"/>
      <x:c r="AG443" s="33" t="str">
        <x:f>IF(OR(AE443="",AF443=""),"",IF(AE443="Positif",IF(AF443="Positif","TP","FN"),IF(AF443="Positif","FP","TN")))</x:f>
      </x:c>
    </x:row>
    <x:row r="444">
      <x:c r="A444" s="32"/>
      <x:c r="B444" s="32"/>
      <x:c r="C444" s="32"/>
      <x:c r="D444" s="35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7"/>
      <x:c r="O444" s="32"/>
      <x:c r="P444" s="40"/>
      <x:c r="Q444" s="40"/>
      <x:c r="R444" s="41" t="str">
        <x:f>IF(OR(P444="",Q444=""),"",P444-Q444)</x:f>
      </x:c>
      <x:c r="S444" s="32"/>
      <x:c r="T444" s="32"/>
      <x:c r="U444" s="32"/>
      <x:c r="V444" s="32"/>
      <x:c r="W444" s="32"/>
      <x:c r="X444" s="32"/>
      <x:c r="Y444" s="43" t="str">
        <x:f>IF(OR(X444="",X444="Pending"),"",IF(X444="Rejected",0,IF(AND(U444="Ya",V444="Ya",W444="Ya"),1,"")))</x:f>
      </x:c>
      <x:c r="AA444" s="32"/>
      <x:c r="AB444" s="32"/>
      <x:c r="AC444" s="32"/>
      <x:c r="AD444" s="32"/>
      <x:c r="AE444" s="32"/>
      <x:c r="AF444" s="32"/>
      <x:c r="AG444" s="33" t="str">
        <x:f>IF(OR(AE444="",AF444=""),"",IF(AE444="Positif",IF(AF444="Positif","TP","FN"),IF(AF444="Positif","FP","TN")))</x:f>
      </x:c>
    </x:row>
    <x:row r="445">
      <x:c r="A445" s="32"/>
      <x:c r="B445" s="32"/>
      <x:c r="C445" s="32"/>
      <x:c r="D445" s="35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7"/>
      <x:c r="O445" s="32"/>
      <x:c r="P445" s="40"/>
      <x:c r="Q445" s="40"/>
      <x:c r="R445" s="41" t="str">
        <x:f>IF(OR(P445="",Q445=""),"",P445-Q445)</x:f>
      </x:c>
      <x:c r="S445" s="32"/>
      <x:c r="T445" s="32"/>
      <x:c r="U445" s="32"/>
      <x:c r="V445" s="32"/>
      <x:c r="W445" s="32"/>
      <x:c r="X445" s="32"/>
      <x:c r="Y445" s="43" t="str">
        <x:f>IF(OR(X445="",X445="Pending"),"",IF(X445="Rejected",0,IF(AND(U445="Ya",V445="Ya",W445="Ya"),1,"")))</x:f>
      </x:c>
      <x:c r="AA445" s="32"/>
      <x:c r="AB445" s="32"/>
      <x:c r="AC445" s="32"/>
      <x:c r="AD445" s="32"/>
      <x:c r="AE445" s="32"/>
      <x:c r="AF445" s="32"/>
      <x:c r="AG445" s="33" t="str">
        <x:f>IF(OR(AE445="",AF445=""),"",IF(AE445="Positif",IF(AF445="Positif","TP","FN"),IF(AF445="Positif","FP","TN")))</x:f>
      </x:c>
    </x:row>
    <x:row r="446">
      <x:c r="A446" s="32"/>
      <x:c r="B446" s="32"/>
      <x:c r="C446" s="32"/>
      <x:c r="D446" s="35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7"/>
      <x:c r="O446" s="32"/>
      <x:c r="P446" s="40"/>
      <x:c r="Q446" s="40"/>
      <x:c r="R446" s="41" t="str">
        <x:f>IF(OR(P446="",Q446=""),"",P446-Q446)</x:f>
      </x:c>
      <x:c r="S446" s="32"/>
      <x:c r="T446" s="32"/>
      <x:c r="U446" s="32"/>
      <x:c r="V446" s="32"/>
      <x:c r="W446" s="32"/>
      <x:c r="X446" s="32"/>
      <x:c r="Y446" s="43" t="str">
        <x:f>IF(OR(X446="",X446="Pending"),"",IF(X446="Rejected",0,IF(AND(U446="Ya",V446="Ya",W446="Ya"),1,"")))</x:f>
      </x:c>
      <x:c r="AA446" s="32"/>
      <x:c r="AB446" s="32"/>
      <x:c r="AC446" s="32"/>
      <x:c r="AD446" s="32"/>
      <x:c r="AE446" s="32"/>
      <x:c r="AF446" s="32"/>
      <x:c r="AG446" s="33" t="str">
        <x:f>IF(OR(AE446="",AF446=""),"",IF(AE446="Positif",IF(AF446="Positif","TP","FN"),IF(AF446="Positif","FP","TN")))</x:f>
      </x:c>
    </x:row>
    <x:row r="447">
      <x:c r="A447" s="32"/>
      <x:c r="B447" s="32"/>
      <x:c r="C447" s="32"/>
      <x:c r="D447" s="35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7"/>
      <x:c r="O447" s="32"/>
      <x:c r="P447" s="40"/>
      <x:c r="Q447" s="40"/>
      <x:c r="R447" s="41" t="str">
        <x:f>IF(OR(P447="",Q447=""),"",P447-Q447)</x:f>
      </x:c>
      <x:c r="S447" s="32"/>
      <x:c r="T447" s="32"/>
      <x:c r="U447" s="32"/>
      <x:c r="V447" s="32"/>
      <x:c r="W447" s="32"/>
      <x:c r="X447" s="32"/>
      <x:c r="Y447" s="43" t="str">
        <x:f>IF(OR(X447="",X447="Pending"),"",IF(X447="Rejected",0,IF(AND(U447="Ya",V447="Ya",W447="Ya"),1,"")))</x:f>
      </x:c>
      <x:c r="AA447" s="32"/>
      <x:c r="AB447" s="32"/>
      <x:c r="AC447" s="32"/>
      <x:c r="AD447" s="32"/>
      <x:c r="AE447" s="32"/>
      <x:c r="AF447" s="32"/>
      <x:c r="AG447" s="33" t="str">
        <x:f>IF(OR(AE447="",AF447=""),"",IF(AE447="Positif",IF(AF447="Positif","TP","FN"),IF(AF447="Positif","FP","TN")))</x:f>
      </x:c>
    </x:row>
    <x:row r="448">
      <x:c r="A448" s="32"/>
      <x:c r="B448" s="32"/>
      <x:c r="C448" s="32"/>
      <x:c r="D448" s="35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7"/>
      <x:c r="O448" s="32"/>
      <x:c r="P448" s="40"/>
      <x:c r="Q448" s="40"/>
      <x:c r="R448" s="41" t="str">
        <x:f>IF(OR(P448="",Q448=""),"",P448-Q448)</x:f>
      </x:c>
      <x:c r="S448" s="32"/>
      <x:c r="T448" s="32"/>
      <x:c r="U448" s="32"/>
      <x:c r="V448" s="32"/>
      <x:c r="W448" s="32"/>
      <x:c r="X448" s="32"/>
      <x:c r="Y448" s="43" t="str">
        <x:f>IF(OR(X448="",X448="Pending"),"",IF(X448="Rejected",0,IF(AND(U448="Ya",V448="Ya",W448="Ya"),1,"")))</x:f>
      </x:c>
      <x:c r="AA448" s="32"/>
      <x:c r="AB448" s="32"/>
      <x:c r="AC448" s="32"/>
      <x:c r="AD448" s="32"/>
      <x:c r="AE448" s="32"/>
      <x:c r="AF448" s="32"/>
      <x:c r="AG448" s="33" t="str">
        <x:f>IF(OR(AE448="",AF448=""),"",IF(AE448="Positif",IF(AF448="Positif","TP","FN"),IF(AF448="Positif","FP","TN")))</x:f>
      </x:c>
    </x:row>
    <x:row r="449">
      <x:c r="A449" s="32"/>
      <x:c r="B449" s="32"/>
      <x:c r="C449" s="32"/>
      <x:c r="D449" s="35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7"/>
      <x:c r="O449" s="32"/>
      <x:c r="P449" s="40"/>
      <x:c r="Q449" s="40"/>
      <x:c r="R449" s="41" t="str">
        <x:f>IF(OR(P449="",Q449=""),"",P449-Q449)</x:f>
      </x:c>
      <x:c r="S449" s="32"/>
      <x:c r="T449" s="32"/>
      <x:c r="U449" s="32"/>
      <x:c r="V449" s="32"/>
      <x:c r="W449" s="32"/>
      <x:c r="X449" s="32"/>
      <x:c r="Y449" s="43" t="str">
        <x:f>IF(OR(X449="",X449="Pending"),"",IF(X449="Rejected",0,IF(AND(U449="Ya",V449="Ya",W449="Ya"),1,"")))</x:f>
      </x:c>
      <x:c r="AA449" s="32"/>
      <x:c r="AB449" s="32"/>
      <x:c r="AC449" s="32"/>
      <x:c r="AD449" s="32"/>
      <x:c r="AE449" s="32"/>
      <x:c r="AF449" s="32"/>
      <x:c r="AG449" s="33" t="str">
        <x:f>IF(OR(AE449="",AF449=""),"",IF(AE449="Positif",IF(AF449="Positif","TP","FN"),IF(AF449="Positif","FP","TN")))</x:f>
      </x:c>
    </x:row>
    <x:row r="450">
      <x:c r="A450" s="32"/>
      <x:c r="B450" s="32"/>
      <x:c r="C450" s="32"/>
      <x:c r="D450" s="35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7"/>
      <x:c r="O450" s="32"/>
      <x:c r="P450" s="40"/>
      <x:c r="Q450" s="40"/>
      <x:c r="R450" s="41" t="str">
        <x:f>IF(OR(P450="",Q450=""),"",P450-Q450)</x:f>
      </x:c>
      <x:c r="S450" s="32"/>
      <x:c r="T450" s="32"/>
      <x:c r="U450" s="32"/>
      <x:c r="V450" s="32"/>
      <x:c r="W450" s="32"/>
      <x:c r="X450" s="32"/>
      <x:c r="Y450" s="43" t="str">
        <x:f>IF(OR(X450="",X450="Pending"),"",IF(X450="Rejected",0,IF(AND(U450="Ya",V450="Ya",W450="Ya"),1,"")))</x:f>
      </x:c>
      <x:c r="AA450" s="32"/>
      <x:c r="AB450" s="32"/>
      <x:c r="AC450" s="32"/>
      <x:c r="AD450" s="32"/>
      <x:c r="AE450" s="32"/>
      <x:c r="AF450" s="32"/>
      <x:c r="AG450" s="33" t="str">
        <x:f>IF(OR(AE450="",AF450=""),"",IF(AE450="Positif",IF(AF450="Positif","TP","FN"),IF(AF450="Positif","FP","TN")))</x:f>
      </x:c>
    </x:row>
    <x:row r="451">
      <x:c r="A451" s="32"/>
      <x:c r="B451" s="32"/>
      <x:c r="C451" s="32"/>
      <x:c r="D451" s="35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7"/>
      <x:c r="O451" s="32"/>
      <x:c r="P451" s="40"/>
      <x:c r="Q451" s="40"/>
      <x:c r="R451" s="41" t="str">
        <x:f>IF(OR(P451="",Q451=""),"",P451-Q451)</x:f>
      </x:c>
      <x:c r="S451" s="32"/>
      <x:c r="T451" s="32"/>
      <x:c r="U451" s="32"/>
      <x:c r="V451" s="32"/>
      <x:c r="W451" s="32"/>
      <x:c r="X451" s="32"/>
      <x:c r="Y451" s="43" t="str">
        <x:f>IF(OR(X451="",X451="Pending"),"",IF(X451="Rejected",0,IF(AND(U451="Ya",V451="Ya",W451="Ya"),1,"")))</x:f>
      </x:c>
      <x:c r="AA451" s="32"/>
      <x:c r="AB451" s="32"/>
      <x:c r="AC451" s="32"/>
      <x:c r="AD451" s="32"/>
      <x:c r="AE451" s="32"/>
      <x:c r="AF451" s="32"/>
      <x:c r="AG451" s="33" t="str">
        <x:f>IF(OR(AE451="",AF451=""),"",IF(AE451="Positif",IF(AF451="Positif","TP","FN"),IF(AF451="Positif","FP","TN")))</x:f>
      </x:c>
    </x:row>
    <x:row r="452">
      <x:c r="A452" s="32"/>
      <x:c r="B452" s="32"/>
      <x:c r="C452" s="32"/>
      <x:c r="D452" s="35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7"/>
      <x:c r="O452" s="32"/>
      <x:c r="P452" s="40"/>
      <x:c r="Q452" s="40"/>
      <x:c r="R452" s="41" t="str">
        <x:f>IF(OR(P452="",Q452=""),"",P452-Q452)</x:f>
      </x:c>
      <x:c r="S452" s="32"/>
      <x:c r="T452" s="32"/>
      <x:c r="U452" s="32"/>
      <x:c r="V452" s="32"/>
      <x:c r="W452" s="32"/>
      <x:c r="X452" s="32"/>
      <x:c r="Y452" s="43" t="str">
        <x:f>IF(OR(X452="",X452="Pending"),"",IF(X452="Rejected",0,IF(AND(U452="Ya",V452="Ya",W452="Ya"),1,"")))</x:f>
      </x:c>
      <x:c r="AA452" s="32"/>
      <x:c r="AB452" s="32"/>
      <x:c r="AC452" s="32"/>
      <x:c r="AD452" s="32"/>
      <x:c r="AE452" s="32"/>
      <x:c r="AF452" s="32"/>
      <x:c r="AG452" s="33" t="str">
        <x:f>IF(OR(AE452="",AF452=""),"",IF(AE452="Positif",IF(AF452="Positif","TP","FN"),IF(AF452="Positif","FP","TN")))</x:f>
      </x:c>
    </x:row>
    <x:row r="453">
      <x:c r="A453" s="32"/>
      <x:c r="B453" s="32"/>
      <x:c r="C453" s="32"/>
      <x:c r="D453" s="35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7"/>
      <x:c r="O453" s="32"/>
      <x:c r="P453" s="40"/>
      <x:c r="Q453" s="40"/>
      <x:c r="R453" s="41" t="str">
        <x:f>IF(OR(P453="",Q453=""),"",P453-Q453)</x:f>
      </x:c>
      <x:c r="S453" s="32"/>
      <x:c r="T453" s="32"/>
      <x:c r="U453" s="32"/>
      <x:c r="V453" s="32"/>
      <x:c r="W453" s="32"/>
      <x:c r="X453" s="32"/>
      <x:c r="Y453" s="43" t="str">
        <x:f>IF(OR(X453="",X453="Pending"),"",IF(X453="Rejected",0,IF(AND(U453="Ya",V453="Ya",W453="Ya"),1,"")))</x:f>
      </x:c>
      <x:c r="AA453" s="32"/>
      <x:c r="AB453" s="32"/>
      <x:c r="AC453" s="32"/>
      <x:c r="AD453" s="32"/>
      <x:c r="AE453" s="32"/>
      <x:c r="AF453" s="32"/>
      <x:c r="AG453" s="33" t="str">
        <x:f>IF(OR(AE453="",AF453=""),"",IF(AE453="Positif",IF(AF453="Positif","TP","FN"),IF(AF453="Positif","FP","TN")))</x:f>
      </x:c>
    </x:row>
    <x:row r="454">
      <x:c r="A454" s="32"/>
      <x:c r="B454" s="32"/>
      <x:c r="C454" s="32"/>
      <x:c r="D454" s="35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7"/>
      <x:c r="O454" s="32"/>
      <x:c r="P454" s="40"/>
      <x:c r="Q454" s="40"/>
      <x:c r="R454" s="41" t="str">
        <x:f>IF(OR(P454="",Q454=""),"",P454-Q454)</x:f>
      </x:c>
      <x:c r="S454" s="32"/>
      <x:c r="T454" s="32"/>
      <x:c r="U454" s="32"/>
      <x:c r="V454" s="32"/>
      <x:c r="W454" s="32"/>
      <x:c r="X454" s="32"/>
      <x:c r="Y454" s="43" t="str">
        <x:f>IF(OR(X454="",X454="Pending"),"",IF(X454="Rejected",0,IF(AND(U454="Ya",V454="Ya",W454="Ya"),1,"")))</x:f>
      </x:c>
      <x:c r="AA454" s="32"/>
      <x:c r="AB454" s="32"/>
      <x:c r="AC454" s="32"/>
      <x:c r="AD454" s="32"/>
      <x:c r="AE454" s="32"/>
      <x:c r="AF454" s="32"/>
      <x:c r="AG454" s="33" t="str">
        <x:f>IF(OR(AE454="",AF454=""),"",IF(AE454="Positif",IF(AF454="Positif","TP","FN"),IF(AF454="Positif","FP","TN")))</x:f>
      </x:c>
    </x:row>
    <x:row r="455">
      <x:c r="A455" s="32"/>
      <x:c r="B455" s="32"/>
      <x:c r="C455" s="32"/>
      <x:c r="D455" s="35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7"/>
      <x:c r="O455" s="32"/>
      <x:c r="P455" s="40"/>
      <x:c r="Q455" s="40"/>
      <x:c r="R455" s="41" t="str">
        <x:f>IF(OR(P455="",Q455=""),"",P455-Q455)</x:f>
      </x:c>
      <x:c r="S455" s="32"/>
      <x:c r="T455" s="32"/>
      <x:c r="U455" s="32"/>
      <x:c r="V455" s="32"/>
      <x:c r="W455" s="32"/>
      <x:c r="X455" s="32"/>
      <x:c r="Y455" s="43" t="str">
        <x:f>IF(OR(X455="",X455="Pending"),"",IF(X455="Rejected",0,IF(AND(U455="Ya",V455="Ya",W455="Ya"),1,"")))</x:f>
      </x:c>
      <x:c r="AA455" s="32"/>
      <x:c r="AB455" s="32"/>
      <x:c r="AC455" s="32"/>
      <x:c r="AD455" s="32"/>
      <x:c r="AE455" s="32"/>
      <x:c r="AF455" s="32"/>
      <x:c r="AG455" s="33" t="str">
        <x:f>IF(OR(AE455="",AF455=""),"",IF(AE455="Positif",IF(AF455="Positif","TP","FN"),IF(AF455="Positif","FP","TN")))</x:f>
      </x:c>
    </x:row>
    <x:row r="456">
      <x:c r="A456" s="32"/>
      <x:c r="B456" s="32"/>
      <x:c r="C456" s="32"/>
      <x:c r="D456" s="35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7"/>
      <x:c r="O456" s="32"/>
      <x:c r="P456" s="40"/>
      <x:c r="Q456" s="40"/>
      <x:c r="R456" s="41" t="str">
        <x:f>IF(OR(P456="",Q456=""),"",P456-Q456)</x:f>
      </x:c>
      <x:c r="S456" s="32"/>
      <x:c r="T456" s="32"/>
      <x:c r="U456" s="32"/>
      <x:c r="V456" s="32"/>
      <x:c r="W456" s="32"/>
      <x:c r="X456" s="32"/>
      <x:c r="Y456" s="43" t="str">
        <x:f>IF(OR(X456="",X456="Pending"),"",IF(X456="Rejected",0,IF(AND(U456="Ya",V456="Ya",W456="Ya"),1,"")))</x:f>
      </x:c>
      <x:c r="AA456" s="32"/>
      <x:c r="AB456" s="32"/>
      <x:c r="AC456" s="32"/>
      <x:c r="AD456" s="32"/>
      <x:c r="AE456" s="32"/>
      <x:c r="AF456" s="32"/>
      <x:c r="AG456" s="33" t="str">
        <x:f>IF(OR(AE456="",AF456=""),"",IF(AE456="Positif",IF(AF456="Positif","TP","FN"),IF(AF456="Positif","FP","TN")))</x:f>
      </x:c>
    </x:row>
    <x:row r="457">
      <x:c r="A457" s="32"/>
      <x:c r="B457" s="32"/>
      <x:c r="C457" s="32"/>
      <x:c r="D457" s="35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7"/>
      <x:c r="O457" s="32"/>
      <x:c r="P457" s="40"/>
      <x:c r="Q457" s="40"/>
      <x:c r="R457" s="41" t="str">
        <x:f>IF(OR(P457="",Q457=""),"",P457-Q457)</x:f>
      </x:c>
      <x:c r="S457" s="32"/>
      <x:c r="T457" s="32"/>
      <x:c r="U457" s="32"/>
      <x:c r="V457" s="32"/>
      <x:c r="W457" s="32"/>
      <x:c r="X457" s="32"/>
      <x:c r="Y457" s="43" t="str">
        <x:f>IF(OR(X457="",X457="Pending"),"",IF(X457="Rejected",0,IF(AND(U457="Ya",V457="Ya",W457="Ya"),1,"")))</x:f>
      </x:c>
      <x:c r="AA457" s="32"/>
      <x:c r="AB457" s="32"/>
      <x:c r="AC457" s="32"/>
      <x:c r="AD457" s="32"/>
      <x:c r="AE457" s="32"/>
      <x:c r="AF457" s="32"/>
      <x:c r="AG457" s="33" t="str">
        <x:f>IF(OR(AE457="",AF457=""),"",IF(AE457="Positif",IF(AF457="Positif","TP","FN"),IF(AF457="Positif","FP","TN")))</x:f>
      </x:c>
    </x:row>
    <x:row r="458">
      <x:c r="A458" s="32"/>
      <x:c r="B458" s="32"/>
      <x:c r="C458" s="32"/>
      <x:c r="D458" s="35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7"/>
      <x:c r="O458" s="32"/>
      <x:c r="P458" s="40"/>
      <x:c r="Q458" s="40"/>
      <x:c r="R458" s="41" t="str">
        <x:f>IF(OR(P458="",Q458=""),"",P458-Q458)</x:f>
      </x:c>
      <x:c r="S458" s="32"/>
      <x:c r="T458" s="32"/>
      <x:c r="U458" s="32"/>
      <x:c r="V458" s="32"/>
      <x:c r="W458" s="32"/>
      <x:c r="X458" s="32"/>
      <x:c r="Y458" s="43" t="str">
        <x:f>IF(OR(X458="",X458="Pending"),"",IF(X458="Rejected",0,IF(AND(U458="Ya",V458="Ya",W458="Ya"),1,"")))</x:f>
      </x:c>
      <x:c r="AA458" s="32"/>
      <x:c r="AB458" s="32"/>
      <x:c r="AC458" s="32"/>
      <x:c r="AD458" s="32"/>
      <x:c r="AE458" s="32"/>
      <x:c r="AF458" s="32"/>
      <x:c r="AG458" s="33" t="str">
        <x:f>IF(OR(AE458="",AF458=""),"",IF(AE458="Positif",IF(AF458="Positif","TP","FN"),IF(AF458="Positif","FP","TN")))</x:f>
      </x:c>
    </x:row>
    <x:row r="459">
      <x:c r="A459" s="32"/>
      <x:c r="B459" s="32"/>
      <x:c r="C459" s="32"/>
      <x:c r="D459" s="35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7"/>
      <x:c r="O459" s="32"/>
      <x:c r="P459" s="40"/>
      <x:c r="Q459" s="40"/>
      <x:c r="R459" s="41" t="str">
        <x:f>IF(OR(P459="",Q459=""),"",P459-Q459)</x:f>
      </x:c>
      <x:c r="S459" s="32"/>
      <x:c r="T459" s="32"/>
      <x:c r="U459" s="32"/>
      <x:c r="V459" s="32"/>
      <x:c r="W459" s="32"/>
      <x:c r="X459" s="32"/>
      <x:c r="Y459" s="43" t="str">
        <x:f>IF(OR(X459="",X459="Pending"),"",IF(X459="Rejected",0,IF(AND(U459="Ya",V459="Ya",W459="Ya"),1,"")))</x:f>
      </x:c>
      <x:c r="AA459" s="32"/>
      <x:c r="AB459" s="32"/>
      <x:c r="AC459" s="32"/>
      <x:c r="AD459" s="32"/>
      <x:c r="AE459" s="32"/>
      <x:c r="AF459" s="32"/>
      <x:c r="AG459" s="33" t="str">
        <x:f>IF(OR(AE459="",AF459=""),"",IF(AE459="Positif",IF(AF459="Positif","TP","FN"),IF(AF459="Positif","FP","TN")))</x:f>
      </x:c>
    </x:row>
    <x:row r="460">
      <x:c r="A460" s="32"/>
      <x:c r="B460" s="32"/>
      <x:c r="C460" s="32"/>
      <x:c r="D460" s="35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7"/>
      <x:c r="O460" s="32"/>
      <x:c r="P460" s="40"/>
      <x:c r="Q460" s="40"/>
      <x:c r="R460" s="41" t="str">
        <x:f>IF(OR(P460="",Q460=""),"",P460-Q460)</x:f>
      </x:c>
      <x:c r="S460" s="32"/>
      <x:c r="T460" s="32"/>
      <x:c r="U460" s="32"/>
      <x:c r="V460" s="32"/>
      <x:c r="W460" s="32"/>
      <x:c r="X460" s="32"/>
      <x:c r="Y460" s="43" t="str">
        <x:f>IF(OR(X460="",X460="Pending"),"",IF(X460="Rejected",0,IF(AND(U460="Ya",V460="Ya",W460="Ya"),1,"")))</x:f>
      </x:c>
      <x:c r="AA460" s="32"/>
      <x:c r="AB460" s="32"/>
      <x:c r="AC460" s="32"/>
      <x:c r="AD460" s="32"/>
      <x:c r="AE460" s="32"/>
      <x:c r="AF460" s="32"/>
      <x:c r="AG460" s="33" t="str">
        <x:f>IF(OR(AE460="",AF460=""),"",IF(AE460="Positif",IF(AF460="Positif","TP","FN"),IF(AF460="Positif","FP","TN")))</x:f>
      </x:c>
    </x:row>
    <x:row r="461">
      <x:c r="A461" s="32"/>
      <x:c r="B461" s="32"/>
      <x:c r="C461" s="32"/>
      <x:c r="D461" s="35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7"/>
      <x:c r="O461" s="32"/>
      <x:c r="P461" s="40"/>
      <x:c r="Q461" s="40"/>
      <x:c r="R461" s="41" t="str">
        <x:f>IF(OR(P461="",Q461=""),"",P461-Q461)</x:f>
      </x:c>
      <x:c r="S461" s="32"/>
      <x:c r="T461" s="32"/>
      <x:c r="U461" s="32"/>
      <x:c r="V461" s="32"/>
      <x:c r="W461" s="32"/>
      <x:c r="X461" s="32"/>
      <x:c r="Y461" s="43" t="str">
        <x:f>IF(OR(X461="",X461="Pending"),"",IF(X461="Rejected",0,IF(AND(U461="Ya",V461="Ya",W461="Ya"),1,"")))</x:f>
      </x:c>
      <x:c r="AA461" s="32"/>
      <x:c r="AB461" s="32"/>
      <x:c r="AC461" s="32"/>
      <x:c r="AD461" s="32"/>
      <x:c r="AE461" s="32"/>
      <x:c r="AF461" s="32"/>
      <x:c r="AG461" s="33" t="str">
        <x:f>IF(OR(AE461="",AF461=""),"",IF(AE461="Positif",IF(AF461="Positif","TP","FN"),IF(AF461="Positif","FP","TN")))</x:f>
      </x:c>
    </x:row>
    <x:row r="462">
      <x:c r="A462" s="32"/>
      <x:c r="B462" s="32"/>
      <x:c r="C462" s="32"/>
      <x:c r="D462" s="35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7"/>
      <x:c r="O462" s="32"/>
      <x:c r="P462" s="40"/>
      <x:c r="Q462" s="40"/>
      <x:c r="R462" s="41" t="str">
        <x:f>IF(OR(P462="",Q462=""),"",P462-Q462)</x:f>
      </x:c>
      <x:c r="S462" s="32"/>
      <x:c r="T462" s="32"/>
      <x:c r="U462" s="32"/>
      <x:c r="V462" s="32"/>
      <x:c r="W462" s="32"/>
      <x:c r="X462" s="32"/>
      <x:c r="Y462" s="43" t="str">
        <x:f>IF(OR(X462="",X462="Pending"),"",IF(X462="Rejected",0,IF(AND(U462="Ya",V462="Ya",W462="Ya"),1,"")))</x:f>
      </x:c>
      <x:c r="AA462" s="32"/>
      <x:c r="AB462" s="32"/>
      <x:c r="AC462" s="32"/>
      <x:c r="AD462" s="32"/>
      <x:c r="AE462" s="32"/>
      <x:c r="AF462" s="32"/>
      <x:c r="AG462" s="33" t="str">
        <x:f>IF(OR(AE462="",AF462=""),"",IF(AE462="Positif",IF(AF462="Positif","TP","FN"),IF(AF462="Positif","FP","TN")))</x:f>
      </x:c>
    </x:row>
    <x:row r="463">
      <x:c r="A463" s="32"/>
      <x:c r="B463" s="32"/>
      <x:c r="C463" s="32"/>
      <x:c r="D463" s="35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7"/>
      <x:c r="O463" s="32"/>
      <x:c r="P463" s="40"/>
      <x:c r="Q463" s="40"/>
      <x:c r="R463" s="41" t="str">
        <x:f>IF(OR(P463="",Q463=""),"",P463-Q463)</x:f>
      </x:c>
      <x:c r="S463" s="32"/>
      <x:c r="T463" s="32"/>
      <x:c r="U463" s="32"/>
      <x:c r="V463" s="32"/>
      <x:c r="W463" s="32"/>
      <x:c r="X463" s="32"/>
      <x:c r="Y463" s="43" t="str">
        <x:f>IF(OR(X463="",X463="Pending"),"",IF(X463="Rejected",0,IF(AND(U463="Ya",V463="Ya",W463="Ya"),1,"")))</x:f>
      </x:c>
      <x:c r="AA463" s="32"/>
      <x:c r="AB463" s="32"/>
      <x:c r="AC463" s="32"/>
      <x:c r="AD463" s="32"/>
      <x:c r="AE463" s="32"/>
      <x:c r="AF463" s="32"/>
      <x:c r="AG463" s="33" t="str">
        <x:f>IF(OR(AE463="",AF463=""),"",IF(AE463="Positif",IF(AF463="Positif","TP","FN"),IF(AF463="Positif","FP","TN")))</x:f>
      </x:c>
    </x:row>
    <x:row r="464">
      <x:c r="A464" s="32"/>
      <x:c r="B464" s="32"/>
      <x:c r="C464" s="32"/>
      <x:c r="D464" s="35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7"/>
      <x:c r="O464" s="32"/>
      <x:c r="P464" s="40"/>
      <x:c r="Q464" s="40"/>
      <x:c r="R464" s="41" t="str">
        <x:f>IF(OR(P464="",Q464=""),"",P464-Q464)</x:f>
      </x:c>
      <x:c r="S464" s="32"/>
      <x:c r="T464" s="32"/>
      <x:c r="U464" s="32"/>
      <x:c r="V464" s="32"/>
      <x:c r="W464" s="32"/>
      <x:c r="X464" s="32"/>
      <x:c r="Y464" s="43" t="str">
        <x:f>IF(OR(X464="",X464="Pending"),"",IF(X464="Rejected",0,IF(AND(U464="Ya",V464="Ya",W464="Ya"),1,"")))</x:f>
      </x:c>
      <x:c r="AA464" s="32"/>
      <x:c r="AB464" s="32"/>
      <x:c r="AC464" s="32"/>
      <x:c r="AD464" s="32"/>
      <x:c r="AE464" s="32"/>
      <x:c r="AF464" s="32"/>
      <x:c r="AG464" s="33" t="str">
        <x:f>IF(OR(AE464="",AF464=""),"",IF(AE464="Positif",IF(AF464="Positif","TP","FN"),IF(AF464="Positif","FP","TN")))</x:f>
      </x:c>
    </x:row>
    <x:row r="465">
      <x:c r="A465" s="32"/>
      <x:c r="B465" s="32"/>
      <x:c r="C465" s="32"/>
      <x:c r="D465" s="35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7"/>
      <x:c r="O465" s="32"/>
      <x:c r="P465" s="40"/>
      <x:c r="Q465" s="40"/>
      <x:c r="R465" s="41" t="str">
        <x:f>IF(OR(P465="",Q465=""),"",P465-Q465)</x:f>
      </x:c>
      <x:c r="S465" s="32"/>
      <x:c r="T465" s="32"/>
      <x:c r="U465" s="32"/>
      <x:c r="V465" s="32"/>
      <x:c r="W465" s="32"/>
      <x:c r="X465" s="32"/>
      <x:c r="Y465" s="43" t="str">
        <x:f>IF(OR(X465="",X465="Pending"),"",IF(X465="Rejected",0,IF(AND(U465="Ya",V465="Ya",W465="Ya"),1,"")))</x:f>
      </x:c>
      <x:c r="AA465" s="32"/>
      <x:c r="AB465" s="32"/>
      <x:c r="AC465" s="32"/>
      <x:c r="AD465" s="32"/>
      <x:c r="AE465" s="32"/>
      <x:c r="AF465" s="32"/>
      <x:c r="AG465" s="33" t="str">
        <x:f>IF(OR(AE465="",AF465=""),"",IF(AE465="Positif",IF(AF465="Positif","TP","FN"),IF(AF465="Positif","FP","TN")))</x:f>
      </x:c>
    </x:row>
    <x:row r="466">
      <x:c r="A466" s="32"/>
      <x:c r="B466" s="32"/>
      <x:c r="C466" s="32"/>
      <x:c r="D466" s="35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7"/>
      <x:c r="O466" s="32"/>
      <x:c r="P466" s="40"/>
      <x:c r="Q466" s="40"/>
      <x:c r="R466" s="41" t="str">
        <x:f>IF(OR(P466="",Q466=""),"",P466-Q466)</x:f>
      </x:c>
      <x:c r="S466" s="32"/>
      <x:c r="T466" s="32"/>
      <x:c r="U466" s="32"/>
      <x:c r="V466" s="32"/>
      <x:c r="W466" s="32"/>
      <x:c r="X466" s="32"/>
      <x:c r="Y466" s="43" t="str">
        <x:f>IF(OR(X466="",X466="Pending"),"",IF(X466="Rejected",0,IF(AND(U466="Ya",V466="Ya",W466="Ya"),1,"")))</x:f>
      </x:c>
      <x:c r="AA466" s="32"/>
      <x:c r="AB466" s="32"/>
      <x:c r="AC466" s="32"/>
      <x:c r="AD466" s="32"/>
      <x:c r="AE466" s="32"/>
      <x:c r="AF466" s="32"/>
      <x:c r="AG466" s="33" t="str">
        <x:f>IF(OR(AE466="",AF466=""),"",IF(AE466="Positif",IF(AF466="Positif","TP","FN"),IF(AF466="Positif","FP","TN")))</x:f>
      </x:c>
    </x:row>
    <x:row r="467">
      <x:c r="A467" s="32"/>
      <x:c r="B467" s="32"/>
      <x:c r="C467" s="32"/>
      <x:c r="D467" s="35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7"/>
      <x:c r="O467" s="32"/>
      <x:c r="P467" s="40"/>
      <x:c r="Q467" s="40"/>
      <x:c r="R467" s="41" t="str">
        <x:f>IF(OR(P467="",Q467=""),"",P467-Q467)</x:f>
      </x:c>
      <x:c r="S467" s="32"/>
      <x:c r="T467" s="32"/>
      <x:c r="U467" s="32"/>
      <x:c r="V467" s="32"/>
      <x:c r="W467" s="32"/>
      <x:c r="X467" s="32"/>
      <x:c r="Y467" s="43" t="str">
        <x:f>IF(OR(X467="",X467="Pending"),"",IF(X467="Rejected",0,IF(AND(U467="Ya",V467="Ya",W467="Ya"),1,"")))</x:f>
      </x:c>
      <x:c r="AA467" s="32"/>
      <x:c r="AB467" s="32"/>
      <x:c r="AC467" s="32"/>
      <x:c r="AD467" s="32"/>
      <x:c r="AE467" s="32"/>
      <x:c r="AF467" s="32"/>
      <x:c r="AG467" s="33" t="str">
        <x:f>IF(OR(AE467="",AF467=""),"",IF(AE467="Positif",IF(AF467="Positif","TP","FN"),IF(AF467="Positif","FP","TN")))</x:f>
      </x:c>
    </x:row>
    <x:row r="468">
      <x:c r="A468" s="32"/>
      <x:c r="B468" s="32"/>
      <x:c r="C468" s="32"/>
      <x:c r="D468" s="35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7"/>
      <x:c r="O468" s="32"/>
      <x:c r="P468" s="40"/>
      <x:c r="Q468" s="40"/>
      <x:c r="R468" s="41" t="str">
        <x:f>IF(OR(P468="",Q468=""),"",P468-Q468)</x:f>
      </x:c>
      <x:c r="S468" s="32"/>
      <x:c r="T468" s="32"/>
      <x:c r="U468" s="32"/>
      <x:c r="V468" s="32"/>
      <x:c r="W468" s="32"/>
      <x:c r="X468" s="32"/>
      <x:c r="Y468" s="43" t="str">
        <x:f>IF(OR(X468="",X468="Pending"),"",IF(X468="Rejected",0,IF(AND(U468="Ya",V468="Ya",W468="Ya"),1,"")))</x:f>
      </x:c>
      <x:c r="AA468" s="32"/>
      <x:c r="AB468" s="32"/>
      <x:c r="AC468" s="32"/>
      <x:c r="AD468" s="32"/>
      <x:c r="AE468" s="32"/>
      <x:c r="AF468" s="32"/>
      <x:c r="AG468" s="33" t="str">
        <x:f>IF(OR(AE468="",AF468=""),"",IF(AE468="Positif",IF(AF468="Positif","TP","FN"),IF(AF468="Positif","FP","TN")))</x:f>
      </x:c>
    </x:row>
    <x:row r="469">
      <x:c r="A469" s="32"/>
      <x:c r="B469" s="32"/>
      <x:c r="C469" s="32"/>
      <x:c r="D469" s="35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7"/>
      <x:c r="O469" s="32"/>
      <x:c r="P469" s="40"/>
      <x:c r="Q469" s="40"/>
      <x:c r="R469" s="41" t="str">
        <x:f>IF(OR(P469="",Q469=""),"",P469-Q469)</x:f>
      </x:c>
      <x:c r="S469" s="32"/>
      <x:c r="T469" s="32"/>
      <x:c r="U469" s="32"/>
      <x:c r="V469" s="32"/>
      <x:c r="W469" s="32"/>
      <x:c r="X469" s="32"/>
      <x:c r="Y469" s="43" t="str">
        <x:f>IF(OR(X469="",X469="Pending"),"",IF(X469="Rejected",0,IF(AND(U469="Ya",V469="Ya",W469="Ya"),1,"")))</x:f>
      </x:c>
      <x:c r="AA469" s="32"/>
      <x:c r="AB469" s="32"/>
      <x:c r="AC469" s="32"/>
      <x:c r="AD469" s="32"/>
      <x:c r="AE469" s="32"/>
      <x:c r="AF469" s="32"/>
      <x:c r="AG469" s="33" t="str">
        <x:f>IF(OR(AE469="",AF469=""),"",IF(AE469="Positif",IF(AF469="Positif","TP","FN"),IF(AF469="Positif","FP","TN")))</x:f>
      </x:c>
    </x:row>
    <x:row r="470">
      <x:c r="A470" s="32"/>
      <x:c r="B470" s="32"/>
      <x:c r="C470" s="32"/>
      <x:c r="D470" s="35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7"/>
      <x:c r="O470" s="32"/>
      <x:c r="P470" s="40"/>
      <x:c r="Q470" s="40"/>
      <x:c r="R470" s="41" t="str">
        <x:f>IF(OR(P470="",Q470=""),"",P470-Q470)</x:f>
      </x:c>
      <x:c r="S470" s="32"/>
      <x:c r="T470" s="32"/>
      <x:c r="U470" s="32"/>
      <x:c r="V470" s="32"/>
      <x:c r="W470" s="32"/>
      <x:c r="X470" s="32"/>
      <x:c r="Y470" s="43" t="str">
        <x:f>IF(OR(X470="",X470="Pending"),"",IF(X470="Rejected",0,IF(AND(U470="Ya",V470="Ya",W470="Ya"),1,"")))</x:f>
      </x:c>
      <x:c r="AA470" s="32"/>
      <x:c r="AB470" s="32"/>
      <x:c r="AC470" s="32"/>
      <x:c r="AD470" s="32"/>
      <x:c r="AE470" s="32"/>
      <x:c r="AF470" s="32"/>
      <x:c r="AG470" s="33" t="str">
        <x:f>IF(OR(AE470="",AF470=""),"",IF(AE470="Positif",IF(AF470="Positif","TP","FN"),IF(AF470="Positif","FP","TN")))</x:f>
      </x:c>
    </x:row>
    <x:row r="471">
      <x:c r="A471" s="32"/>
      <x:c r="B471" s="32"/>
      <x:c r="C471" s="32"/>
      <x:c r="D471" s="35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7"/>
      <x:c r="O471" s="32"/>
      <x:c r="P471" s="40"/>
      <x:c r="Q471" s="40"/>
      <x:c r="R471" s="41" t="str">
        <x:f>IF(OR(P471="",Q471=""),"",P471-Q471)</x:f>
      </x:c>
      <x:c r="S471" s="32"/>
      <x:c r="T471" s="32"/>
      <x:c r="U471" s="32"/>
      <x:c r="V471" s="32"/>
      <x:c r="W471" s="32"/>
      <x:c r="X471" s="32"/>
      <x:c r="Y471" s="43" t="str">
        <x:f>IF(OR(X471="",X471="Pending"),"",IF(X471="Rejected",0,IF(AND(U471="Ya",V471="Ya",W471="Ya"),1,"")))</x:f>
      </x:c>
      <x:c r="AA471" s="32"/>
      <x:c r="AB471" s="32"/>
      <x:c r="AC471" s="32"/>
      <x:c r="AD471" s="32"/>
      <x:c r="AE471" s="32"/>
      <x:c r="AF471" s="32"/>
      <x:c r="AG471" s="33" t="str">
        <x:f>IF(OR(AE471="",AF471=""),"",IF(AE471="Positif",IF(AF471="Positif","TP","FN"),IF(AF471="Positif","FP","TN")))</x:f>
      </x:c>
    </x:row>
    <x:row r="472">
      <x:c r="A472" s="32"/>
      <x:c r="B472" s="32"/>
      <x:c r="C472" s="32"/>
      <x:c r="D472" s="35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7"/>
      <x:c r="O472" s="32"/>
      <x:c r="P472" s="40"/>
      <x:c r="Q472" s="40"/>
      <x:c r="R472" s="41" t="str">
        <x:f>IF(OR(P472="",Q472=""),"",P472-Q472)</x:f>
      </x:c>
      <x:c r="S472" s="32"/>
      <x:c r="T472" s="32"/>
      <x:c r="U472" s="32"/>
      <x:c r="V472" s="32"/>
      <x:c r="W472" s="32"/>
      <x:c r="X472" s="32"/>
      <x:c r="Y472" s="43" t="str">
        <x:f>IF(OR(X472="",X472="Pending"),"",IF(X472="Rejected",0,IF(AND(U472="Ya",V472="Ya",W472="Ya"),1,"")))</x:f>
      </x:c>
      <x:c r="AA472" s="32"/>
      <x:c r="AB472" s="32"/>
      <x:c r="AC472" s="32"/>
      <x:c r="AD472" s="32"/>
      <x:c r="AE472" s="32"/>
      <x:c r="AF472" s="32"/>
      <x:c r="AG472" s="33" t="str">
        <x:f>IF(OR(AE472="",AF472=""),"",IF(AE472="Positif",IF(AF472="Positif","TP","FN"),IF(AF472="Positif","FP","TN")))</x:f>
      </x:c>
    </x:row>
    <x:row r="473">
      <x:c r="A473" s="32"/>
      <x:c r="B473" s="32"/>
      <x:c r="C473" s="32"/>
      <x:c r="D473" s="35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7"/>
      <x:c r="O473" s="32"/>
      <x:c r="P473" s="40"/>
      <x:c r="Q473" s="40"/>
      <x:c r="R473" s="41" t="str">
        <x:f>IF(OR(P473="",Q473=""),"",P473-Q473)</x:f>
      </x:c>
      <x:c r="S473" s="32"/>
      <x:c r="T473" s="32"/>
      <x:c r="U473" s="32"/>
      <x:c r="V473" s="32"/>
      <x:c r="W473" s="32"/>
      <x:c r="X473" s="32"/>
      <x:c r="Y473" s="43" t="str">
        <x:f>IF(OR(X473="",X473="Pending"),"",IF(X473="Rejected",0,IF(AND(U473="Ya",V473="Ya",W473="Ya"),1,"")))</x:f>
      </x:c>
      <x:c r="AA473" s="32"/>
      <x:c r="AB473" s="32"/>
      <x:c r="AC473" s="32"/>
      <x:c r="AD473" s="32"/>
      <x:c r="AE473" s="32"/>
      <x:c r="AF473" s="32"/>
      <x:c r="AG473" s="33" t="str">
        <x:f>IF(OR(AE473="",AF473=""),"",IF(AE473="Positif",IF(AF473="Positif","TP","FN"),IF(AF473="Positif","FP","TN")))</x:f>
      </x:c>
    </x:row>
    <x:row r="474">
      <x:c r="A474" s="32"/>
      <x:c r="B474" s="32"/>
      <x:c r="C474" s="32"/>
      <x:c r="D474" s="35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7"/>
      <x:c r="O474" s="32"/>
      <x:c r="P474" s="40"/>
      <x:c r="Q474" s="40"/>
      <x:c r="R474" s="41" t="str">
        <x:f>IF(OR(P474="",Q474=""),"",P474-Q474)</x:f>
      </x:c>
      <x:c r="S474" s="32"/>
      <x:c r="T474" s="32"/>
      <x:c r="U474" s="32"/>
      <x:c r="V474" s="32"/>
      <x:c r="W474" s="32"/>
      <x:c r="X474" s="32"/>
      <x:c r="Y474" s="43" t="str">
        <x:f>IF(OR(X474="",X474="Pending"),"",IF(X474="Rejected",0,IF(AND(U474="Ya",V474="Ya",W474="Ya"),1,"")))</x:f>
      </x:c>
      <x:c r="AA474" s="32"/>
      <x:c r="AB474" s="32"/>
      <x:c r="AC474" s="32"/>
      <x:c r="AD474" s="32"/>
      <x:c r="AE474" s="32"/>
      <x:c r="AF474" s="32"/>
      <x:c r="AG474" s="33" t="str">
        <x:f>IF(OR(AE474="",AF474=""),"",IF(AE474="Positif",IF(AF474="Positif","TP","FN"),IF(AF474="Positif","FP","TN")))</x:f>
      </x:c>
    </x:row>
    <x:row r="475">
      <x:c r="A475" s="32"/>
      <x:c r="B475" s="32"/>
      <x:c r="C475" s="32"/>
      <x:c r="D475" s="35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7"/>
      <x:c r="O475" s="32"/>
      <x:c r="P475" s="40"/>
      <x:c r="Q475" s="40"/>
      <x:c r="R475" s="41" t="str">
        <x:f>IF(OR(P475="",Q475=""),"",P475-Q475)</x:f>
      </x:c>
      <x:c r="S475" s="32"/>
      <x:c r="T475" s="32"/>
      <x:c r="U475" s="32"/>
      <x:c r="V475" s="32"/>
      <x:c r="W475" s="32"/>
      <x:c r="X475" s="32"/>
      <x:c r="Y475" s="43" t="str">
        <x:f>IF(OR(X475="",X475="Pending"),"",IF(X475="Rejected",0,IF(AND(U475="Ya",V475="Ya",W475="Ya"),1,"")))</x:f>
      </x:c>
      <x:c r="AA475" s="32"/>
      <x:c r="AB475" s="32"/>
      <x:c r="AC475" s="32"/>
      <x:c r="AD475" s="32"/>
      <x:c r="AE475" s="32"/>
      <x:c r="AF475" s="32"/>
      <x:c r="AG475" s="33" t="str">
        <x:f>IF(OR(AE475="",AF475=""),"",IF(AE475="Positif",IF(AF475="Positif","TP","FN"),IF(AF475="Positif","FP","TN")))</x:f>
      </x:c>
    </x:row>
    <x:row r="476">
      <x:c r="A476" s="32"/>
      <x:c r="B476" s="32"/>
      <x:c r="C476" s="32"/>
      <x:c r="D476" s="35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7"/>
      <x:c r="O476" s="32"/>
      <x:c r="P476" s="40"/>
      <x:c r="Q476" s="40"/>
      <x:c r="R476" s="41" t="str">
        <x:f>IF(OR(P476="",Q476=""),"",P476-Q476)</x:f>
      </x:c>
      <x:c r="S476" s="32"/>
      <x:c r="T476" s="32"/>
      <x:c r="U476" s="32"/>
      <x:c r="V476" s="32"/>
      <x:c r="W476" s="32"/>
      <x:c r="X476" s="32"/>
      <x:c r="Y476" s="43" t="str">
        <x:f>IF(OR(X476="",X476="Pending"),"",IF(X476="Rejected",0,IF(AND(U476="Ya",V476="Ya",W476="Ya"),1,"")))</x:f>
      </x:c>
      <x:c r="AA476" s="32"/>
      <x:c r="AB476" s="32"/>
      <x:c r="AC476" s="32"/>
      <x:c r="AD476" s="32"/>
      <x:c r="AE476" s="32"/>
      <x:c r="AF476" s="32"/>
      <x:c r="AG476" s="33" t="str">
        <x:f>IF(OR(AE476="",AF476=""),"",IF(AE476="Positif",IF(AF476="Positif","TP","FN"),IF(AF476="Positif","FP","TN")))</x:f>
      </x:c>
    </x:row>
    <x:row r="477">
      <x:c r="A477" s="32"/>
      <x:c r="B477" s="32"/>
      <x:c r="C477" s="32"/>
      <x:c r="D477" s="35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7"/>
      <x:c r="O477" s="32"/>
      <x:c r="P477" s="40"/>
      <x:c r="Q477" s="40"/>
      <x:c r="R477" s="41" t="str">
        <x:f>IF(OR(P477="",Q477=""),"",P477-Q477)</x:f>
      </x:c>
      <x:c r="S477" s="32"/>
      <x:c r="T477" s="32"/>
      <x:c r="U477" s="32"/>
      <x:c r="V477" s="32"/>
      <x:c r="W477" s="32"/>
      <x:c r="X477" s="32"/>
      <x:c r="Y477" s="43" t="str">
        <x:f>IF(OR(X477="",X477="Pending"),"",IF(X477="Rejected",0,IF(AND(U477="Ya",V477="Ya",W477="Ya"),1,"")))</x:f>
      </x:c>
      <x:c r="AA477" s="32"/>
      <x:c r="AB477" s="32"/>
      <x:c r="AC477" s="32"/>
      <x:c r="AD477" s="32"/>
      <x:c r="AE477" s="32"/>
      <x:c r="AF477" s="32"/>
      <x:c r="AG477" s="33" t="str">
        <x:f>IF(OR(AE477="",AF477=""),"",IF(AE477="Positif",IF(AF477="Positif","TP","FN"),IF(AF477="Positif","FP","TN")))</x:f>
      </x:c>
    </x:row>
    <x:row r="478">
      <x:c r="A478" s="32"/>
      <x:c r="B478" s="32"/>
      <x:c r="C478" s="32"/>
      <x:c r="D478" s="35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7"/>
      <x:c r="O478" s="32"/>
      <x:c r="P478" s="40"/>
      <x:c r="Q478" s="40"/>
      <x:c r="R478" s="41" t="str">
        <x:f>IF(OR(P478="",Q478=""),"",P478-Q478)</x:f>
      </x:c>
      <x:c r="S478" s="32"/>
      <x:c r="T478" s="32"/>
      <x:c r="U478" s="32"/>
      <x:c r="V478" s="32"/>
      <x:c r="W478" s="32"/>
      <x:c r="X478" s="32"/>
      <x:c r="Y478" s="43" t="str">
        <x:f>IF(OR(X478="",X478="Pending"),"",IF(X478="Rejected",0,IF(AND(U478="Ya",V478="Ya",W478="Ya"),1,"")))</x:f>
      </x:c>
      <x:c r="AA478" s="32"/>
      <x:c r="AB478" s="32"/>
      <x:c r="AC478" s="32"/>
      <x:c r="AD478" s="32"/>
      <x:c r="AE478" s="32"/>
      <x:c r="AF478" s="32"/>
      <x:c r="AG478" s="33" t="str">
        <x:f>IF(OR(AE478="",AF478=""),"",IF(AE478="Positif",IF(AF478="Positif","TP","FN"),IF(AF478="Positif","FP","TN")))</x:f>
      </x:c>
    </x:row>
    <x:row r="479">
      <x:c r="A479" s="32"/>
      <x:c r="B479" s="32"/>
      <x:c r="C479" s="32"/>
      <x:c r="D479" s="35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7"/>
      <x:c r="O479" s="32"/>
      <x:c r="P479" s="40"/>
      <x:c r="Q479" s="40"/>
      <x:c r="R479" s="41" t="str">
        <x:f>IF(OR(P479="",Q479=""),"",P479-Q479)</x:f>
      </x:c>
      <x:c r="S479" s="32"/>
      <x:c r="T479" s="32"/>
      <x:c r="U479" s="32"/>
      <x:c r="V479" s="32"/>
      <x:c r="W479" s="32"/>
      <x:c r="X479" s="32"/>
      <x:c r="Y479" s="43" t="str">
        <x:f>IF(OR(X479="",X479="Pending"),"",IF(X479="Rejected",0,IF(AND(U479="Ya",V479="Ya",W479="Ya"),1,"")))</x:f>
      </x:c>
      <x:c r="AA479" s="32"/>
      <x:c r="AB479" s="32"/>
      <x:c r="AC479" s="32"/>
      <x:c r="AD479" s="32"/>
      <x:c r="AE479" s="32"/>
      <x:c r="AF479" s="32"/>
      <x:c r="AG479" s="33" t="str">
        <x:f>IF(OR(AE479="",AF479=""),"",IF(AE479="Positif",IF(AF479="Positif","TP","FN"),IF(AF479="Positif","FP","TN")))</x:f>
      </x:c>
    </x:row>
    <x:row r="480">
      <x:c r="A480" s="32"/>
      <x:c r="B480" s="32"/>
      <x:c r="C480" s="32"/>
      <x:c r="D480" s="35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7"/>
      <x:c r="O480" s="32"/>
      <x:c r="P480" s="40"/>
      <x:c r="Q480" s="40"/>
      <x:c r="R480" s="41" t="str">
        <x:f>IF(OR(P480="",Q480=""),"",P480-Q480)</x:f>
      </x:c>
      <x:c r="S480" s="32"/>
      <x:c r="T480" s="32"/>
      <x:c r="U480" s="32"/>
      <x:c r="V480" s="32"/>
      <x:c r="W480" s="32"/>
      <x:c r="X480" s="32"/>
      <x:c r="Y480" s="43" t="str">
        <x:f>IF(OR(X480="",X480="Pending"),"",IF(X480="Rejected",0,IF(AND(U480="Ya",V480="Ya",W480="Ya"),1,"")))</x:f>
      </x:c>
      <x:c r="AA480" s="32"/>
      <x:c r="AB480" s="32"/>
      <x:c r="AC480" s="32"/>
      <x:c r="AD480" s="32"/>
      <x:c r="AE480" s="32"/>
      <x:c r="AF480" s="32"/>
      <x:c r="AG480" s="33" t="str">
        <x:f>IF(OR(AE480="",AF480=""),"",IF(AE480="Positif",IF(AF480="Positif","TP","FN"),IF(AF480="Positif","FP","TN")))</x:f>
      </x:c>
    </x:row>
    <x:row r="481">
      <x:c r="A481" s="32"/>
      <x:c r="B481" s="32"/>
      <x:c r="C481" s="32"/>
      <x:c r="D481" s="35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7"/>
      <x:c r="O481" s="32"/>
      <x:c r="P481" s="40"/>
      <x:c r="Q481" s="40"/>
      <x:c r="R481" s="41" t="str">
        <x:f>IF(OR(P481="",Q481=""),"",P481-Q481)</x:f>
      </x:c>
      <x:c r="S481" s="32"/>
      <x:c r="T481" s="32"/>
      <x:c r="U481" s="32"/>
      <x:c r="V481" s="32"/>
      <x:c r="W481" s="32"/>
      <x:c r="X481" s="32"/>
      <x:c r="Y481" s="43" t="str">
        <x:f>IF(OR(X481="",X481="Pending"),"",IF(X481="Rejected",0,IF(AND(U481="Ya",V481="Ya",W481="Ya"),1,"")))</x:f>
      </x:c>
      <x:c r="AA481" s="32"/>
      <x:c r="AB481" s="32"/>
      <x:c r="AC481" s="32"/>
      <x:c r="AD481" s="32"/>
      <x:c r="AE481" s="32"/>
      <x:c r="AF481" s="32"/>
      <x:c r="AG481" s="33" t="str">
        <x:f>IF(OR(AE481="",AF481=""),"",IF(AE481="Positif",IF(AF481="Positif","TP","FN"),IF(AF481="Positif","FP","TN")))</x:f>
      </x:c>
    </x:row>
    <x:row r="482">
      <x:c r="A482" s="32"/>
      <x:c r="B482" s="32"/>
      <x:c r="C482" s="32"/>
      <x:c r="D482" s="35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7"/>
      <x:c r="O482" s="32"/>
      <x:c r="P482" s="40"/>
      <x:c r="Q482" s="40"/>
      <x:c r="R482" s="41" t="str">
        <x:f>IF(OR(P482="",Q482=""),"",P482-Q482)</x:f>
      </x:c>
      <x:c r="S482" s="32"/>
      <x:c r="T482" s="32"/>
      <x:c r="U482" s="32"/>
      <x:c r="V482" s="32"/>
      <x:c r="W482" s="32"/>
      <x:c r="X482" s="32"/>
      <x:c r="Y482" s="43" t="str">
        <x:f>IF(OR(X482="",X482="Pending"),"",IF(X482="Rejected",0,IF(AND(U482="Ya",V482="Ya",W482="Ya"),1,"")))</x:f>
      </x:c>
      <x:c r="AA482" s="32"/>
      <x:c r="AB482" s="32"/>
      <x:c r="AC482" s="32"/>
      <x:c r="AD482" s="32"/>
      <x:c r="AE482" s="32"/>
      <x:c r="AF482" s="32"/>
      <x:c r="AG482" s="33" t="str">
        <x:f>IF(OR(AE482="",AF482=""),"",IF(AE482="Positif",IF(AF482="Positif","TP","FN"),IF(AF482="Positif","FP","TN")))</x:f>
      </x:c>
    </x:row>
    <x:row r="483">
      <x:c r="A483" s="32"/>
      <x:c r="B483" s="32"/>
      <x:c r="C483" s="32"/>
      <x:c r="D483" s="35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7"/>
      <x:c r="O483" s="32"/>
      <x:c r="P483" s="40"/>
      <x:c r="Q483" s="40"/>
      <x:c r="R483" s="41" t="str">
        <x:f>IF(OR(P483="",Q483=""),"",P483-Q483)</x:f>
      </x:c>
      <x:c r="S483" s="32"/>
      <x:c r="T483" s="32"/>
      <x:c r="U483" s="32"/>
      <x:c r="V483" s="32"/>
      <x:c r="W483" s="32"/>
      <x:c r="X483" s="32"/>
      <x:c r="Y483" s="43" t="str">
        <x:f>IF(OR(X483="",X483="Pending"),"",IF(X483="Rejected",0,IF(AND(U483="Ya",V483="Ya",W483="Ya"),1,"")))</x:f>
      </x:c>
      <x:c r="AA483" s="32"/>
      <x:c r="AB483" s="32"/>
      <x:c r="AC483" s="32"/>
      <x:c r="AD483" s="32"/>
      <x:c r="AE483" s="32"/>
      <x:c r="AF483" s="32"/>
      <x:c r="AG483" s="33" t="str">
        <x:f>IF(OR(AE483="",AF483=""),"",IF(AE483="Positif",IF(AF483="Positif","TP","FN"),IF(AF483="Positif","FP","TN")))</x:f>
      </x:c>
    </x:row>
    <x:row r="484">
      <x:c r="A484" s="32"/>
      <x:c r="B484" s="32"/>
      <x:c r="C484" s="32"/>
      <x:c r="D484" s="35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7"/>
      <x:c r="O484" s="32"/>
      <x:c r="P484" s="40"/>
      <x:c r="Q484" s="40"/>
      <x:c r="R484" s="41" t="str">
        <x:f>IF(OR(P484="",Q484=""),"",P484-Q484)</x:f>
      </x:c>
      <x:c r="S484" s="32"/>
      <x:c r="T484" s="32"/>
      <x:c r="U484" s="32"/>
      <x:c r="V484" s="32"/>
      <x:c r="W484" s="32"/>
      <x:c r="X484" s="32"/>
      <x:c r="Y484" s="43" t="str">
        <x:f>IF(OR(X484="",X484="Pending"),"",IF(X484="Rejected",0,IF(AND(U484="Ya",V484="Ya",W484="Ya"),1,"")))</x:f>
      </x:c>
      <x:c r="AA484" s="32"/>
      <x:c r="AB484" s="32"/>
      <x:c r="AC484" s="32"/>
      <x:c r="AD484" s="32"/>
      <x:c r="AE484" s="32"/>
      <x:c r="AF484" s="32"/>
      <x:c r="AG484" s="33" t="str">
        <x:f>IF(OR(AE484="",AF484=""),"",IF(AE484="Positif",IF(AF484="Positif","TP","FN"),IF(AF484="Positif","FP","TN")))</x:f>
      </x:c>
    </x:row>
    <x:row r="485">
      <x:c r="A485" s="32"/>
      <x:c r="B485" s="32"/>
      <x:c r="C485" s="32"/>
      <x:c r="D485" s="35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7"/>
      <x:c r="O485" s="32"/>
      <x:c r="P485" s="40"/>
      <x:c r="Q485" s="40"/>
      <x:c r="R485" s="41" t="str">
        <x:f>IF(OR(P485="",Q485=""),"",P485-Q485)</x:f>
      </x:c>
      <x:c r="S485" s="32"/>
      <x:c r="T485" s="32"/>
      <x:c r="U485" s="32"/>
      <x:c r="V485" s="32"/>
      <x:c r="W485" s="32"/>
      <x:c r="X485" s="32"/>
      <x:c r="Y485" s="43" t="str">
        <x:f>IF(OR(X485="",X485="Pending"),"",IF(X485="Rejected",0,IF(AND(U485="Ya",V485="Ya",W485="Ya"),1,"")))</x:f>
      </x:c>
      <x:c r="AA485" s="32"/>
      <x:c r="AB485" s="32"/>
      <x:c r="AC485" s="32"/>
      <x:c r="AD485" s="32"/>
      <x:c r="AE485" s="32"/>
      <x:c r="AF485" s="32"/>
      <x:c r="AG485" s="33" t="str">
        <x:f>IF(OR(AE485="",AF485=""),"",IF(AE485="Positif",IF(AF485="Positif","TP","FN"),IF(AF485="Positif","FP","TN")))</x:f>
      </x:c>
    </x:row>
    <x:row r="486">
      <x:c r="A486" s="32"/>
      <x:c r="B486" s="32"/>
      <x:c r="C486" s="32"/>
      <x:c r="D486" s="35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7"/>
      <x:c r="O486" s="32"/>
      <x:c r="P486" s="40"/>
      <x:c r="Q486" s="40"/>
      <x:c r="R486" s="41" t="str">
        <x:f>IF(OR(P486="",Q486=""),"",P486-Q486)</x:f>
      </x:c>
      <x:c r="S486" s="32"/>
      <x:c r="T486" s="32"/>
      <x:c r="U486" s="32"/>
      <x:c r="V486" s="32"/>
      <x:c r="W486" s="32"/>
      <x:c r="X486" s="32"/>
      <x:c r="Y486" s="43" t="str">
        <x:f>IF(OR(X486="",X486="Pending"),"",IF(X486="Rejected",0,IF(AND(U486="Ya",V486="Ya",W486="Ya"),1,"")))</x:f>
      </x:c>
      <x:c r="AA486" s="32"/>
      <x:c r="AB486" s="32"/>
      <x:c r="AC486" s="32"/>
      <x:c r="AD486" s="32"/>
      <x:c r="AE486" s="32"/>
      <x:c r="AF486" s="32"/>
      <x:c r="AG486" s="33" t="str">
        <x:f>IF(OR(AE486="",AF486=""),"",IF(AE486="Positif",IF(AF486="Positif","TP","FN"),IF(AF486="Positif","FP","TN")))</x:f>
      </x:c>
    </x:row>
    <x:row r="487">
      <x:c r="A487" s="32"/>
      <x:c r="B487" s="32"/>
      <x:c r="C487" s="32"/>
      <x:c r="D487" s="35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7"/>
      <x:c r="O487" s="32"/>
      <x:c r="P487" s="40"/>
      <x:c r="Q487" s="40"/>
      <x:c r="R487" s="41" t="str">
        <x:f>IF(OR(P487="",Q487=""),"",P487-Q487)</x:f>
      </x:c>
      <x:c r="S487" s="32"/>
      <x:c r="T487" s="32"/>
      <x:c r="U487" s="32"/>
      <x:c r="V487" s="32"/>
      <x:c r="W487" s="32"/>
      <x:c r="X487" s="32"/>
      <x:c r="Y487" s="43" t="str">
        <x:f>IF(OR(X487="",X487="Pending"),"",IF(X487="Rejected",0,IF(AND(U487="Ya",V487="Ya",W487="Ya"),1,"")))</x:f>
      </x:c>
      <x:c r="AA487" s="32"/>
      <x:c r="AB487" s="32"/>
      <x:c r="AC487" s="32"/>
      <x:c r="AD487" s="32"/>
      <x:c r="AE487" s="32"/>
      <x:c r="AF487" s="32"/>
      <x:c r="AG487" s="33" t="str">
        <x:f>IF(OR(AE487="",AF487=""),"",IF(AE487="Positif",IF(AF487="Positif","TP","FN"),IF(AF487="Positif","FP","TN")))</x:f>
      </x:c>
    </x:row>
    <x:row r="488">
      <x:c r="A488" s="32"/>
      <x:c r="B488" s="32"/>
      <x:c r="C488" s="32"/>
      <x:c r="D488" s="35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7"/>
      <x:c r="O488" s="32"/>
      <x:c r="P488" s="40"/>
      <x:c r="Q488" s="40"/>
      <x:c r="R488" s="41" t="str">
        <x:f>IF(OR(P488="",Q488=""),"",P488-Q488)</x:f>
      </x:c>
      <x:c r="S488" s="32"/>
      <x:c r="T488" s="32"/>
      <x:c r="U488" s="32"/>
      <x:c r="V488" s="32"/>
      <x:c r="W488" s="32"/>
      <x:c r="X488" s="32"/>
      <x:c r="Y488" s="43" t="str">
        <x:f>IF(OR(X488="",X488="Pending"),"",IF(X488="Rejected",0,IF(AND(U488="Ya",V488="Ya",W488="Ya"),1,"")))</x:f>
      </x:c>
      <x:c r="AA488" s="32"/>
      <x:c r="AB488" s="32"/>
      <x:c r="AC488" s="32"/>
      <x:c r="AD488" s="32"/>
      <x:c r="AE488" s="32"/>
      <x:c r="AF488" s="32"/>
      <x:c r="AG488" s="33" t="str">
        <x:f>IF(OR(AE488="",AF488=""),"",IF(AE488="Positif",IF(AF488="Positif","TP","FN"),IF(AF488="Positif","FP","TN")))</x:f>
      </x:c>
    </x:row>
    <x:row r="489">
      <x:c r="A489" s="32"/>
      <x:c r="B489" s="32"/>
      <x:c r="C489" s="32"/>
      <x:c r="D489" s="35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7"/>
      <x:c r="O489" s="32"/>
      <x:c r="P489" s="40"/>
      <x:c r="Q489" s="40"/>
      <x:c r="R489" s="41" t="str">
        <x:f>IF(OR(P489="",Q489=""),"",P489-Q489)</x:f>
      </x:c>
      <x:c r="S489" s="32"/>
      <x:c r="T489" s="32"/>
      <x:c r="U489" s="32"/>
      <x:c r="V489" s="32"/>
      <x:c r="W489" s="32"/>
      <x:c r="X489" s="32"/>
      <x:c r="Y489" s="43" t="str">
        <x:f>IF(OR(X489="",X489="Pending"),"",IF(X489="Rejected",0,IF(AND(U489="Ya",V489="Ya",W489="Ya"),1,"")))</x:f>
      </x:c>
      <x:c r="AA489" s="32"/>
      <x:c r="AB489" s="32"/>
      <x:c r="AC489" s="32"/>
      <x:c r="AD489" s="32"/>
      <x:c r="AE489" s="32"/>
      <x:c r="AF489" s="32"/>
      <x:c r="AG489" s="33" t="str">
        <x:f>IF(OR(AE489="",AF489=""),"",IF(AE489="Positif",IF(AF489="Positif","TP","FN"),IF(AF489="Positif","FP","TN")))</x:f>
      </x:c>
    </x:row>
    <x:row r="490">
      <x:c r="A490" s="32"/>
      <x:c r="B490" s="32"/>
      <x:c r="C490" s="32"/>
      <x:c r="D490" s="35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7"/>
      <x:c r="O490" s="32"/>
      <x:c r="P490" s="40"/>
      <x:c r="Q490" s="40"/>
      <x:c r="R490" s="41" t="str">
        <x:f>IF(OR(P490="",Q490=""),"",P490-Q490)</x:f>
      </x:c>
      <x:c r="S490" s="32"/>
      <x:c r="T490" s="32"/>
      <x:c r="U490" s="32"/>
      <x:c r="V490" s="32"/>
      <x:c r="W490" s="32"/>
      <x:c r="X490" s="32"/>
      <x:c r="Y490" s="43" t="str">
        <x:f>IF(OR(X490="",X490="Pending"),"",IF(X490="Rejected",0,IF(AND(U490="Ya",V490="Ya",W490="Ya"),1,"")))</x:f>
      </x:c>
      <x:c r="AA490" s="32"/>
      <x:c r="AB490" s="32"/>
      <x:c r="AC490" s="32"/>
      <x:c r="AD490" s="32"/>
      <x:c r="AE490" s="32"/>
      <x:c r="AF490" s="32"/>
      <x:c r="AG490" s="33" t="str">
        <x:f>IF(OR(AE490="",AF490=""),"",IF(AE490="Positif",IF(AF490="Positif","TP","FN"),IF(AF490="Positif","FP","TN")))</x:f>
      </x:c>
    </x:row>
    <x:row r="491">
      <x:c r="A491" s="32"/>
      <x:c r="B491" s="32"/>
      <x:c r="C491" s="32"/>
      <x:c r="D491" s="35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7"/>
      <x:c r="O491" s="32"/>
      <x:c r="P491" s="40"/>
      <x:c r="Q491" s="40"/>
      <x:c r="R491" s="41" t="str">
        <x:f>IF(OR(P491="",Q491=""),"",P491-Q491)</x:f>
      </x:c>
      <x:c r="S491" s="32"/>
      <x:c r="T491" s="32"/>
      <x:c r="U491" s="32"/>
      <x:c r="V491" s="32"/>
      <x:c r="W491" s="32"/>
      <x:c r="X491" s="32"/>
      <x:c r="Y491" s="43" t="str">
        <x:f>IF(OR(X491="",X491="Pending"),"",IF(X491="Rejected",0,IF(AND(U491="Ya",V491="Ya",W491="Ya"),1,"")))</x:f>
      </x:c>
      <x:c r="AA491" s="32"/>
      <x:c r="AB491" s="32"/>
      <x:c r="AC491" s="32"/>
      <x:c r="AD491" s="32"/>
      <x:c r="AE491" s="32"/>
      <x:c r="AF491" s="32"/>
      <x:c r="AG491" s="33" t="str">
        <x:f>IF(OR(AE491="",AF491=""),"",IF(AE491="Positif",IF(AF491="Positif","TP","FN"),IF(AF491="Positif","FP","TN")))</x:f>
      </x:c>
    </x:row>
    <x:row r="492">
      <x:c r="A492" s="32"/>
      <x:c r="B492" s="32"/>
      <x:c r="C492" s="32"/>
      <x:c r="D492" s="35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7"/>
      <x:c r="O492" s="32"/>
      <x:c r="P492" s="40"/>
      <x:c r="Q492" s="40"/>
      <x:c r="R492" s="41" t="str">
        <x:f>IF(OR(P492="",Q492=""),"",P492-Q492)</x:f>
      </x:c>
      <x:c r="S492" s="32"/>
      <x:c r="T492" s="32"/>
      <x:c r="U492" s="32"/>
      <x:c r="V492" s="32"/>
      <x:c r="W492" s="32"/>
      <x:c r="X492" s="32"/>
      <x:c r="Y492" s="43" t="str">
        <x:f>IF(OR(X492="",X492="Pending"),"",IF(X492="Rejected",0,IF(AND(U492="Ya",V492="Ya",W492="Ya"),1,"")))</x:f>
      </x:c>
      <x:c r="AA492" s="32"/>
      <x:c r="AB492" s="32"/>
      <x:c r="AC492" s="32"/>
      <x:c r="AD492" s="32"/>
      <x:c r="AE492" s="32"/>
      <x:c r="AF492" s="32"/>
      <x:c r="AG492" s="33" t="str">
        <x:f>IF(OR(AE492="",AF492=""),"",IF(AE492="Positif",IF(AF492="Positif","TP","FN"),IF(AF492="Positif","FP","TN")))</x:f>
      </x:c>
    </x:row>
    <x:row r="493">
      <x:c r="A493" s="32"/>
      <x:c r="B493" s="32"/>
      <x:c r="C493" s="32"/>
      <x:c r="D493" s="35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7"/>
      <x:c r="O493" s="32"/>
      <x:c r="P493" s="40"/>
      <x:c r="Q493" s="40"/>
      <x:c r="R493" s="41" t="str">
        <x:f>IF(OR(P493="",Q493=""),"",P493-Q493)</x:f>
      </x:c>
      <x:c r="S493" s="32"/>
      <x:c r="T493" s="32"/>
      <x:c r="U493" s="32"/>
      <x:c r="V493" s="32"/>
      <x:c r="W493" s="32"/>
      <x:c r="X493" s="32"/>
      <x:c r="Y493" s="43" t="str">
        <x:f>IF(OR(X493="",X493="Pending"),"",IF(X493="Rejected",0,IF(AND(U493="Ya",V493="Ya",W493="Ya"),1,"")))</x:f>
      </x:c>
      <x:c r="AA493" s="32"/>
      <x:c r="AB493" s="32"/>
      <x:c r="AC493" s="32"/>
      <x:c r="AD493" s="32"/>
      <x:c r="AE493" s="32"/>
      <x:c r="AF493" s="32"/>
      <x:c r="AG493" s="33" t="str">
        <x:f>IF(OR(AE493="",AF493=""),"",IF(AE493="Positif",IF(AF493="Positif","TP","FN"),IF(AF493="Positif","FP","TN")))</x:f>
      </x:c>
    </x:row>
    <x:row r="494">
      <x:c r="A494" s="32"/>
      <x:c r="B494" s="32"/>
      <x:c r="C494" s="32"/>
      <x:c r="D494" s="35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7"/>
      <x:c r="O494" s="32"/>
      <x:c r="P494" s="40"/>
      <x:c r="Q494" s="40"/>
      <x:c r="R494" s="41" t="str">
        <x:f>IF(OR(P494="",Q494=""),"",P494-Q494)</x:f>
      </x:c>
      <x:c r="S494" s="32"/>
      <x:c r="T494" s="32"/>
      <x:c r="U494" s="32"/>
      <x:c r="V494" s="32"/>
      <x:c r="W494" s="32"/>
      <x:c r="X494" s="32"/>
      <x:c r="Y494" s="43" t="str">
        <x:f>IF(OR(X494="",X494="Pending"),"",IF(X494="Rejected",0,IF(AND(U494="Ya",V494="Ya",W494="Ya"),1,"")))</x:f>
      </x:c>
      <x:c r="AA494" s="32"/>
      <x:c r="AB494" s="32"/>
      <x:c r="AC494" s="32"/>
      <x:c r="AD494" s="32"/>
      <x:c r="AE494" s="32"/>
      <x:c r="AF494" s="32"/>
      <x:c r="AG494" s="33" t="str">
        <x:f>IF(OR(AE494="",AF494=""),"",IF(AE494="Positif",IF(AF494="Positif","TP","FN"),IF(AF494="Positif","FP","TN")))</x:f>
      </x:c>
    </x:row>
    <x:row r="495">
      <x:c r="A495" s="32"/>
      <x:c r="B495" s="32"/>
      <x:c r="C495" s="32"/>
      <x:c r="D495" s="35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7"/>
      <x:c r="O495" s="32"/>
      <x:c r="P495" s="40"/>
      <x:c r="Q495" s="40"/>
      <x:c r="R495" s="41" t="str">
        <x:f>IF(OR(P495="",Q495=""),"",P495-Q495)</x:f>
      </x:c>
      <x:c r="S495" s="32"/>
      <x:c r="T495" s="32"/>
      <x:c r="U495" s="32"/>
      <x:c r="V495" s="32"/>
      <x:c r="W495" s="32"/>
      <x:c r="X495" s="32"/>
      <x:c r="Y495" s="43" t="str">
        <x:f>IF(OR(X495="",X495="Pending"),"",IF(X495="Rejected",0,IF(AND(U495="Ya",V495="Ya",W495="Ya"),1,"")))</x:f>
      </x:c>
      <x:c r="AA495" s="32"/>
      <x:c r="AB495" s="32"/>
      <x:c r="AC495" s="32"/>
      <x:c r="AD495" s="32"/>
      <x:c r="AE495" s="32"/>
      <x:c r="AF495" s="32"/>
      <x:c r="AG495" s="33" t="str">
        <x:f>IF(OR(AE495="",AF495=""),"",IF(AE495="Positif",IF(AF495="Positif","TP","FN"),IF(AF495="Positif","FP","TN")))</x:f>
      </x:c>
    </x:row>
    <x:row r="496">
      <x:c r="A496" s="32"/>
      <x:c r="B496" s="32"/>
      <x:c r="C496" s="32"/>
      <x:c r="D496" s="35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7"/>
      <x:c r="O496" s="32"/>
      <x:c r="P496" s="40"/>
      <x:c r="Q496" s="40"/>
      <x:c r="R496" s="41" t="str">
        <x:f>IF(OR(P496="",Q496=""),"",P496-Q496)</x:f>
      </x:c>
      <x:c r="S496" s="32"/>
      <x:c r="T496" s="32"/>
      <x:c r="U496" s="32"/>
      <x:c r="V496" s="32"/>
      <x:c r="W496" s="32"/>
      <x:c r="X496" s="32"/>
      <x:c r="Y496" s="43" t="str">
        <x:f>IF(OR(X496="",X496="Pending"),"",IF(X496="Rejected",0,IF(AND(U496="Ya",V496="Ya",W496="Ya"),1,"")))</x:f>
      </x:c>
      <x:c r="AA496" s="32"/>
      <x:c r="AB496" s="32"/>
      <x:c r="AC496" s="32"/>
      <x:c r="AD496" s="32"/>
      <x:c r="AE496" s="32"/>
      <x:c r="AF496" s="32"/>
      <x:c r="AG496" s="33" t="str">
        <x:f>IF(OR(AE496="",AF496=""),"",IF(AE496="Positif",IF(AF496="Positif","TP","FN"),IF(AF496="Positif","FP","TN")))</x:f>
      </x:c>
    </x:row>
    <x:row r="497">
      <x:c r="A497" s="32"/>
      <x:c r="B497" s="32"/>
      <x:c r="C497" s="32"/>
      <x:c r="D497" s="35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7"/>
      <x:c r="O497" s="32"/>
      <x:c r="P497" s="40"/>
      <x:c r="Q497" s="40"/>
      <x:c r="R497" s="41" t="str">
        <x:f>IF(OR(P497="",Q497=""),"",P497-Q497)</x:f>
      </x:c>
      <x:c r="S497" s="32"/>
      <x:c r="T497" s="32"/>
      <x:c r="U497" s="32"/>
      <x:c r="V497" s="32"/>
      <x:c r="W497" s="32"/>
      <x:c r="X497" s="32"/>
      <x:c r="Y497" s="43" t="str">
        <x:f>IF(OR(X497="",X497="Pending"),"",IF(X497="Rejected",0,IF(AND(U497="Ya",V497="Ya",W497="Ya"),1,"")))</x:f>
      </x:c>
      <x:c r="AA497" s="32"/>
      <x:c r="AB497" s="32"/>
      <x:c r="AC497" s="32"/>
      <x:c r="AD497" s="32"/>
      <x:c r="AE497" s="32"/>
      <x:c r="AF497" s="32"/>
      <x:c r="AG497" s="33" t="str">
        <x:f>IF(OR(AE497="",AF497=""),"",IF(AE497="Positif",IF(AF497="Positif","TP","FN"),IF(AF497="Positif","FP","TN")))</x:f>
      </x:c>
    </x:row>
    <x:row r="498">
      <x:c r="A498" s="32"/>
      <x:c r="B498" s="32"/>
      <x:c r="C498" s="32"/>
      <x:c r="D498" s="35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7"/>
      <x:c r="O498" s="32"/>
      <x:c r="P498" s="40"/>
      <x:c r="Q498" s="40"/>
      <x:c r="R498" s="41" t="str">
        <x:f>IF(OR(P498="",Q498=""),"",P498-Q498)</x:f>
      </x:c>
      <x:c r="S498" s="32"/>
      <x:c r="T498" s="32"/>
      <x:c r="U498" s="32"/>
      <x:c r="V498" s="32"/>
      <x:c r="W498" s="32"/>
      <x:c r="X498" s="32"/>
      <x:c r="Y498" s="43" t="str">
        <x:f>IF(OR(X498="",X498="Pending"),"",IF(X498="Rejected",0,IF(AND(U498="Ya",V498="Ya",W498="Ya"),1,"")))</x:f>
      </x:c>
      <x:c r="AA498" s="32"/>
      <x:c r="AB498" s="32"/>
      <x:c r="AC498" s="32"/>
      <x:c r="AD498" s="32"/>
      <x:c r="AE498" s="32"/>
      <x:c r="AF498" s="32"/>
      <x:c r="AG498" s="33" t="str">
        <x:f>IF(OR(AE498="",AF498=""),"",IF(AE498="Positif",IF(AF498="Positif","TP","FN"),IF(AF498="Positif","FP","TN")))</x:f>
      </x:c>
    </x:row>
    <x:row r="499">
      <x:c r="A499" s="32"/>
      <x:c r="B499" s="32"/>
      <x:c r="C499" s="32"/>
      <x:c r="D499" s="35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7"/>
      <x:c r="O499" s="32"/>
      <x:c r="P499" s="40"/>
      <x:c r="Q499" s="40"/>
      <x:c r="R499" s="41" t="str">
        <x:f>IF(OR(P499="",Q499=""),"",P499-Q499)</x:f>
      </x:c>
      <x:c r="S499" s="32"/>
      <x:c r="T499" s="32"/>
      <x:c r="U499" s="32"/>
      <x:c r="V499" s="32"/>
      <x:c r="W499" s="32"/>
      <x:c r="X499" s="32"/>
      <x:c r="Y499" s="43" t="str">
        <x:f>IF(OR(X499="",X499="Pending"),"",IF(X499="Rejected",0,IF(AND(U499="Ya",V499="Ya",W499="Ya"),1,"")))</x:f>
      </x:c>
      <x:c r="AA499" s="32"/>
      <x:c r="AB499" s="32"/>
      <x:c r="AC499" s="32"/>
      <x:c r="AD499" s="32"/>
      <x:c r="AE499" s="32"/>
      <x:c r="AF499" s="32"/>
      <x:c r="AG499" s="33" t="str">
        <x:f>IF(OR(AE499="",AF499=""),"",IF(AE499="Positif",IF(AF499="Positif","TP","FN"),IF(AF499="Positif","FP","TN")))</x:f>
      </x:c>
    </x:row>
    <x:row r="500">
      <x:c r="A500" s="32"/>
      <x:c r="B500" s="32"/>
      <x:c r="C500" s="32"/>
      <x:c r="D500" s="35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7"/>
      <x:c r="O500" s="32"/>
      <x:c r="P500" s="40"/>
      <x:c r="Q500" s="40"/>
      <x:c r="R500" s="41" t="str">
        <x:f>IF(OR(P500="",Q500=""),"",P500-Q500)</x:f>
      </x:c>
      <x:c r="S500" s="32"/>
      <x:c r="T500" s="32"/>
      <x:c r="U500" s="32"/>
      <x:c r="V500" s="32"/>
      <x:c r="W500" s="32"/>
      <x:c r="X500" s="32"/>
      <x:c r="Y500" s="43" t="str">
        <x:f>IF(OR(X500="",X500="Pending"),"",IF(X500="Rejected",0,IF(AND(U500="Ya",V500="Ya",W500="Ya"),1,"")))</x:f>
      </x:c>
      <x:c r="AA500" s="32"/>
      <x:c r="AB500" s="32"/>
      <x:c r="AC500" s="32"/>
      <x:c r="AD500" s="32"/>
      <x:c r="AE500" s="32"/>
      <x:c r="AF500" s="32"/>
      <x:c r="AG500" s="33" t="str">
        <x:f>IF(OR(AE500="",AF500=""),"",IF(AE500="Positif",IF(AF500="Positif","TP","FN"),IF(AF500="Positif","FP","TN")))</x:f>
      </x:c>
    </x:row>
    <x:row r="501">
      <x:c r="A501" s="32"/>
      <x:c r="B501" s="32"/>
      <x:c r="C501" s="32"/>
      <x:c r="D501" s="35"/>
      <x:c r="E501" s="32"/>
      <x:c r="F501" s="32"/>
      <x:c r="G501" s="32"/>
      <x:c r="H501" s="32"/>
      <x:c r="I501" s="32"/>
      <x:c r="J501" s="32"/>
      <x:c r="K501" s="32"/>
      <x:c r="L501" s="32"/>
      <x:c r="M501" s="32"/>
      <x:c r="N501" s="37"/>
      <x:c r="O501" s="32"/>
      <x:c r="P501" s="40"/>
      <x:c r="Q501" s="40"/>
      <x:c r="R501" s="41" t="str">
        <x:f>IF(OR(P501="",Q501=""),"",P501-Q501)</x:f>
      </x:c>
      <x:c r="S501" s="32"/>
      <x:c r="T501" s="32"/>
      <x:c r="U501" s="32"/>
      <x:c r="V501" s="32"/>
      <x:c r="W501" s="32"/>
      <x:c r="X501" s="32"/>
      <x:c r="Y501" s="43" t="str">
        <x:f>IF(OR(X501="",X501="Pending"),"",IF(X501="Rejected",0,IF(AND(U501="Ya",V501="Ya",W501="Ya"),1,"")))</x:f>
      </x:c>
      <x:c r="AA501" s="32"/>
      <x:c r="AB501" s="32"/>
      <x:c r="AC501" s="32"/>
      <x:c r="AD501" s="32"/>
      <x:c r="AE501" s="32"/>
      <x:c r="AF501" s="32"/>
      <x:c r="AG501" s="33" t="str">
        <x:f>IF(OR(AE501="",AF501=""),"",IF(AE501="Positif",IF(AF501="Positif","TP","FN"),IF(AF501="Positif","FP","TN")))</x:f>
      </x:c>
    </x:row>
    <x:row r="502">
      <x:c r="A502" s="32"/>
      <x:c r="B502" s="32"/>
      <x:c r="C502" s="32"/>
      <x:c r="D502" s="35"/>
      <x:c r="E502" s="32"/>
      <x:c r="F502" s="32"/>
      <x:c r="G502" s="32"/>
      <x:c r="H502" s="32"/>
      <x:c r="I502" s="32"/>
      <x:c r="J502" s="32"/>
      <x:c r="K502" s="32"/>
      <x:c r="L502" s="32"/>
      <x:c r="M502" s="32"/>
      <x:c r="N502" s="37"/>
      <x:c r="O502" s="32"/>
      <x:c r="P502" s="40"/>
      <x:c r="Q502" s="40"/>
      <x:c r="R502" s="41" t="str">
        <x:f>IF(OR(P502="",Q502=""),"",P502-Q502)</x:f>
      </x:c>
      <x:c r="S502" s="32"/>
      <x:c r="T502" s="32"/>
      <x:c r="U502" s="32"/>
      <x:c r="V502" s="32"/>
      <x:c r="W502" s="32"/>
      <x:c r="X502" s="32"/>
      <x:c r="Y502" s="43" t="str">
        <x:f>IF(OR(X502="",X502="Pending"),"",IF(X502="Rejected",0,IF(AND(U502="Ya",V502="Ya",W502="Ya"),1,"")))</x:f>
      </x:c>
      <x:c r="AA502" s="32"/>
      <x:c r="AB502" s="32"/>
      <x:c r="AC502" s="32"/>
      <x:c r="AD502" s="32"/>
      <x:c r="AE502" s="32"/>
      <x:c r="AF502" s="32"/>
      <x:c r="AG502" s="33" t="str">
        <x:f>IF(OR(AE502="",AF502=""),"",IF(AE502="Positif",IF(AF502="Positif","TP","FN"),IF(AF502="Positif","FP","TN")))</x:f>
      </x:c>
    </x:row>
    <x:row r="503">
      <x:c r="A503" s="32"/>
      <x:c r="B503" s="32"/>
      <x:c r="C503" s="32"/>
      <x:c r="D503" s="35"/>
      <x:c r="E503" s="32"/>
      <x:c r="F503" s="32"/>
      <x:c r="G503" s="32"/>
      <x:c r="H503" s="32"/>
      <x:c r="I503" s="32"/>
      <x:c r="J503" s="32"/>
      <x:c r="K503" s="32"/>
      <x:c r="L503" s="32"/>
      <x:c r="M503" s="32"/>
      <x:c r="N503" s="37"/>
      <x:c r="O503" s="32"/>
      <x:c r="P503" s="40"/>
      <x:c r="Q503" s="40"/>
      <x:c r="R503" s="41" t="str">
        <x:f>IF(OR(P503="",Q503=""),"",P503-Q503)</x:f>
      </x:c>
      <x:c r="S503" s="32"/>
      <x:c r="T503" s="32"/>
      <x:c r="U503" s="32"/>
      <x:c r="V503" s="32"/>
      <x:c r="W503" s="32"/>
      <x:c r="X503" s="32"/>
      <x:c r="Y503" s="43" t="str">
        <x:f>IF(OR(X503="",X503="Pending"),"",IF(X503="Rejected",0,IF(AND(U503="Ya",V503="Ya",W503="Ya"),1,"")))</x:f>
      </x:c>
      <x:c r="AA503" s="32"/>
      <x:c r="AB503" s="32"/>
      <x:c r="AC503" s="32"/>
      <x:c r="AD503" s="32"/>
      <x:c r="AE503" s="32"/>
      <x:c r="AF503" s="32"/>
      <x:c r="AG503" s="33" t="str">
        <x:f>IF(OR(AE503="",AF503=""),"",IF(AE503="Positif",IF(AF503="Positif","TP","FN"),IF(AF503="Positif","FP","TN")))</x:f>
      </x:c>
    </x:row>
    <x:row r="504">
      <x:c r="A504" s="32"/>
      <x:c r="B504" s="32"/>
      <x:c r="C504" s="32"/>
      <x:c r="D504" s="35"/>
      <x:c r="E504" s="32"/>
      <x:c r="F504" s="32"/>
      <x:c r="G504" s="32"/>
      <x:c r="H504" s="32"/>
      <x:c r="I504" s="32"/>
      <x:c r="J504" s="32"/>
      <x:c r="K504" s="32"/>
      <x:c r="L504" s="32"/>
      <x:c r="M504" s="32"/>
      <x:c r="N504" s="37"/>
      <x:c r="O504" s="32"/>
      <x:c r="P504" s="40"/>
      <x:c r="Q504" s="40"/>
      <x:c r="R504" s="41" t="str">
        <x:f>IF(OR(P504="",Q504=""),"",P504-Q504)</x:f>
      </x:c>
      <x:c r="S504" s="32"/>
      <x:c r="T504" s="32"/>
      <x:c r="U504" s="32"/>
      <x:c r="V504" s="32"/>
      <x:c r="W504" s="32"/>
      <x:c r="X504" s="32"/>
      <x:c r="Y504" s="43" t="str">
        <x:f>IF(OR(X504="",X504="Pending"),"",IF(X504="Rejected",0,IF(AND(U504="Ya",V504="Ya",W504="Ya"),1,"")))</x:f>
      </x:c>
      <x:c r="AA504" s="32"/>
      <x:c r="AB504" s="32"/>
      <x:c r="AC504" s="32"/>
      <x:c r="AD504" s="32"/>
      <x:c r="AE504" s="32"/>
      <x:c r="AF504" s="32"/>
      <x:c r="AG504" s="33" t="str">
        <x:f>IF(OR(AE504="",AF504=""),"",IF(AE504="Positif",IF(AF504="Positif","TP","FN"),IF(AF504="Positif","FP","TN")))</x:f>
      </x:c>
    </x:row>
    <x:row r="505">
      <x:c r="A505" s="32"/>
      <x:c r="B505" s="32"/>
      <x:c r="C505" s="32"/>
      <x:c r="D505" s="35"/>
      <x:c r="E505" s="32"/>
      <x:c r="F505" s="32"/>
      <x:c r="G505" s="32"/>
      <x:c r="H505" s="32"/>
      <x:c r="I505" s="32"/>
      <x:c r="J505" s="32"/>
      <x:c r="K505" s="32"/>
      <x:c r="L505" s="32"/>
      <x:c r="M505" s="32"/>
      <x:c r="N505" s="37"/>
      <x:c r="O505" s="32"/>
      <x:c r="P505" s="40"/>
      <x:c r="Q505" s="40"/>
      <x:c r="R505" s="41" t="str">
        <x:f>IF(OR(P505="",Q505=""),"",P505-Q505)</x:f>
      </x:c>
      <x:c r="S505" s="32"/>
      <x:c r="T505" s="32"/>
      <x:c r="U505" s="32"/>
      <x:c r="V505" s="32"/>
      <x:c r="W505" s="32"/>
      <x:c r="X505" s="32"/>
      <x:c r="Y505" s="43" t="str">
        <x:f>IF(OR(X505="",X505="Pending"),"",IF(X505="Rejected",0,IF(AND(U505="Ya",V505="Ya",W505="Ya"),1,"")))</x:f>
      </x:c>
      <x:c r="AA505" s="32"/>
      <x:c r="AB505" s="32"/>
      <x:c r="AC505" s="32"/>
      <x:c r="AD505" s="32"/>
      <x:c r="AE505" s="32"/>
      <x:c r="AF505" s="32"/>
      <x:c r="AG505" s="33" t="str">
        <x:f>IF(OR(AE505="",AF505=""),"",IF(AE505="Positif",IF(AF505="Positif","TP","FN"),IF(AF505="Positif","FP","TN")))</x:f>
      </x:c>
    </x:row>
    <x:row r="506">
      <x:c r="A506" s="32"/>
      <x:c r="B506" s="32"/>
      <x:c r="C506" s="32"/>
      <x:c r="D506" s="35"/>
      <x:c r="E506" s="32"/>
      <x:c r="F506" s="32"/>
      <x:c r="G506" s="32"/>
      <x:c r="H506" s="32"/>
      <x:c r="I506" s="32"/>
      <x:c r="J506" s="32"/>
      <x:c r="K506" s="32"/>
      <x:c r="L506" s="32"/>
      <x:c r="M506" s="32"/>
      <x:c r="N506" s="37"/>
      <x:c r="O506" s="32"/>
      <x:c r="P506" s="40"/>
      <x:c r="Q506" s="40"/>
      <x:c r="R506" s="41" t="str">
        <x:f>IF(OR(P506="",Q506=""),"",P506-Q506)</x:f>
      </x:c>
      <x:c r="S506" s="32"/>
      <x:c r="T506" s="32"/>
      <x:c r="U506" s="32"/>
      <x:c r="V506" s="32"/>
      <x:c r="W506" s="32"/>
      <x:c r="X506" s="32"/>
      <x:c r="Y506" s="43" t="str">
        <x:f>IF(OR(X506="",X506="Pending"),"",IF(X506="Rejected",0,IF(AND(U506="Ya",V506="Ya",W506="Ya"),1,"")))</x:f>
      </x:c>
      <x:c r="AA506" s="32"/>
      <x:c r="AB506" s="32"/>
      <x:c r="AC506" s="32"/>
      <x:c r="AD506" s="32"/>
      <x:c r="AE506" s="32"/>
      <x:c r="AF506" s="32"/>
      <x:c r="AG506" s="33" t="str">
        <x:f>IF(OR(AE506="",AF506=""),"",IF(AE506="Positif",IF(AF506="Positif","TP","FN"),IF(AF506="Positif","FP","TN")))</x:f>
      </x:c>
    </x:row>
    <x:row r="507">
      <x:c r="A507" s="32"/>
      <x:c r="B507" s="32"/>
      <x:c r="C507" s="32"/>
      <x:c r="D507" s="35"/>
      <x:c r="E507" s="32"/>
      <x:c r="F507" s="32"/>
      <x:c r="G507" s="32"/>
      <x:c r="H507" s="32"/>
      <x:c r="I507" s="32"/>
      <x:c r="J507" s="32"/>
      <x:c r="K507" s="32"/>
      <x:c r="L507" s="32"/>
      <x:c r="M507" s="32"/>
      <x:c r="N507" s="37"/>
      <x:c r="O507" s="32"/>
      <x:c r="P507" s="40"/>
      <x:c r="Q507" s="40"/>
      <x:c r="R507" s="41" t="str">
        <x:f>IF(OR(P507="",Q507=""),"",P507-Q507)</x:f>
      </x:c>
      <x:c r="S507" s="32"/>
      <x:c r="T507" s="32"/>
      <x:c r="U507" s="32"/>
      <x:c r="V507" s="32"/>
      <x:c r="W507" s="32"/>
      <x:c r="X507" s="32"/>
      <x:c r="Y507" s="43" t="str">
        <x:f>IF(OR(X507="",X507="Pending"),"",IF(X507="Rejected",0,IF(AND(U507="Ya",V507="Ya",W507="Ya"),1,"")))</x:f>
      </x:c>
      <x:c r="AA507" s="32"/>
      <x:c r="AB507" s="32"/>
      <x:c r="AC507" s="32"/>
      <x:c r="AD507" s="32"/>
      <x:c r="AE507" s="32"/>
      <x:c r="AF507" s="32"/>
      <x:c r="AG507" s="33" t="str">
        <x:f>IF(OR(AE507="",AF507=""),"",IF(AE507="Positif",IF(AF507="Positif","TP","FN"),IF(AF507="Positif","FP","TN")))</x:f>
      </x:c>
    </x:row>
    <x:row r="508">
      <x:c r="A508" s="32"/>
      <x:c r="B508" s="32"/>
      <x:c r="C508" s="32"/>
      <x:c r="D508" s="35"/>
      <x:c r="E508" s="32"/>
      <x:c r="F508" s="32"/>
      <x:c r="G508" s="32"/>
      <x:c r="H508" s="32"/>
      <x:c r="I508" s="32"/>
      <x:c r="J508" s="32"/>
      <x:c r="K508" s="32"/>
      <x:c r="L508" s="32"/>
      <x:c r="M508" s="32"/>
      <x:c r="N508" s="37"/>
      <x:c r="O508" s="32"/>
      <x:c r="P508" s="40"/>
      <x:c r="Q508" s="40"/>
      <x:c r="R508" s="41" t="str">
        <x:f>IF(OR(P508="",Q508=""),"",P508-Q508)</x:f>
      </x:c>
      <x:c r="S508" s="32"/>
      <x:c r="T508" s="32"/>
      <x:c r="U508" s="32"/>
      <x:c r="V508" s="32"/>
      <x:c r="W508" s="32"/>
      <x:c r="X508" s="32"/>
      <x:c r="Y508" s="43" t="str">
        <x:f>IF(OR(X508="",X508="Pending"),"",IF(X508="Rejected",0,IF(AND(U508="Ya",V508="Ya",W508="Ya"),1,"")))</x:f>
      </x:c>
      <x:c r="AA508" s="32"/>
      <x:c r="AB508" s="32"/>
      <x:c r="AC508" s="32"/>
      <x:c r="AD508" s="32"/>
      <x:c r="AE508" s="32"/>
      <x:c r="AF508" s="32"/>
      <x:c r="AG508" s="33" t="str">
        <x:f>IF(OR(AE508="",AF508=""),"",IF(AE508="Positif",IF(AF508="Positif","TP","FN"),IF(AF508="Positif","FP","TN")))</x:f>
      </x:c>
    </x:row>
    <x:row r="509">
      <x:c r="A509" s="32"/>
      <x:c r="B509" s="32"/>
      <x:c r="C509" s="32"/>
      <x:c r="D509" s="35"/>
      <x:c r="E509" s="32"/>
      <x:c r="F509" s="32"/>
      <x:c r="G509" s="32"/>
      <x:c r="H509" s="32"/>
      <x:c r="I509" s="32"/>
      <x:c r="J509" s="32"/>
      <x:c r="K509" s="32"/>
      <x:c r="L509" s="32"/>
      <x:c r="M509" s="32"/>
      <x:c r="N509" s="37"/>
      <x:c r="O509" s="32"/>
      <x:c r="P509" s="40"/>
      <x:c r="Q509" s="40"/>
      <x:c r="R509" s="41" t="str">
        <x:f>IF(OR(P509="",Q509=""),"",P509-Q509)</x:f>
      </x:c>
      <x:c r="S509" s="32"/>
      <x:c r="T509" s="32"/>
      <x:c r="U509" s="32"/>
      <x:c r="V509" s="32"/>
      <x:c r="W509" s="32"/>
      <x:c r="X509" s="32"/>
      <x:c r="Y509" s="43" t="str">
        <x:f>IF(OR(X509="",X509="Pending"),"",IF(X509="Rejected",0,IF(AND(U509="Ya",V509="Ya",W509="Ya"),1,"")))</x:f>
      </x:c>
      <x:c r="AA509" s="32"/>
      <x:c r="AB509" s="32"/>
      <x:c r="AC509" s="32"/>
      <x:c r="AD509" s="32"/>
      <x:c r="AE509" s="32"/>
      <x:c r="AF509" s="32"/>
      <x:c r="AG509" s="33" t="str">
        <x:f>IF(OR(AE509="",AF509=""),"",IF(AE509="Positif",IF(AF509="Positif","TP","FN"),IF(AF509="Positif","FP","TN")))</x:f>
      </x:c>
    </x:row>
    <x:row r="510">
      <x:c r="A510" s="32"/>
      <x:c r="B510" s="32"/>
      <x:c r="C510" s="32"/>
      <x:c r="D510" s="35"/>
      <x:c r="E510" s="32"/>
      <x:c r="F510" s="32"/>
      <x:c r="G510" s="32"/>
      <x:c r="H510" s="32"/>
      <x:c r="I510" s="32"/>
      <x:c r="J510" s="32"/>
      <x:c r="K510" s="32"/>
      <x:c r="L510" s="32"/>
      <x:c r="M510" s="32"/>
      <x:c r="N510" s="37"/>
      <x:c r="O510" s="32"/>
      <x:c r="P510" s="40"/>
      <x:c r="Q510" s="40"/>
      <x:c r="R510" s="41" t="str">
        <x:f>IF(OR(P510="",Q510=""),"",P510-Q510)</x:f>
      </x:c>
      <x:c r="S510" s="32"/>
      <x:c r="T510" s="32"/>
      <x:c r="U510" s="32"/>
      <x:c r="V510" s="32"/>
      <x:c r="W510" s="32"/>
      <x:c r="X510" s="32"/>
      <x:c r="Y510" s="43" t="str">
        <x:f>IF(OR(X510="",X510="Pending"),"",IF(X510="Rejected",0,IF(AND(U510="Ya",V510="Ya",W510="Ya"),1,"")))</x:f>
      </x:c>
      <x:c r="AA510" s="32"/>
      <x:c r="AB510" s="32"/>
      <x:c r="AC510" s="32"/>
      <x:c r="AD510" s="32"/>
      <x:c r="AE510" s="32"/>
      <x:c r="AF510" s="32"/>
      <x:c r="AG510" s="33" t="str">
        <x:f>IF(OR(AE510="",AF510=""),"",IF(AE510="Positif",IF(AF510="Positif","TP","FN"),IF(AF510="Positif","FP","TN")))</x:f>
      </x:c>
    </x:row>
    <x:row r="511">
      <x:c r="A511" s="32"/>
      <x:c r="B511" s="32"/>
      <x:c r="C511" s="32"/>
      <x:c r="D511" s="35"/>
      <x:c r="E511" s="32"/>
      <x:c r="F511" s="32"/>
      <x:c r="G511" s="32"/>
      <x:c r="H511" s="32"/>
      <x:c r="I511" s="32"/>
      <x:c r="J511" s="32"/>
      <x:c r="K511" s="32"/>
      <x:c r="L511" s="32"/>
      <x:c r="M511" s="32"/>
      <x:c r="N511" s="37"/>
      <x:c r="O511" s="32"/>
      <x:c r="P511" s="40"/>
      <x:c r="Q511" s="40"/>
      <x:c r="R511" s="41" t="str">
        <x:f>IF(OR(P511="",Q511=""),"",P511-Q511)</x:f>
      </x:c>
      <x:c r="S511" s="32"/>
      <x:c r="T511" s="32"/>
      <x:c r="U511" s="32"/>
      <x:c r="V511" s="32"/>
      <x:c r="W511" s="32"/>
      <x:c r="X511" s="32"/>
      <x:c r="Y511" s="43" t="str">
        <x:f>IF(OR(X511="",X511="Pending"),"",IF(X511="Rejected",0,IF(AND(U511="Ya",V511="Ya",W511="Ya"),1,"")))</x:f>
      </x:c>
      <x:c r="AA511" s="32"/>
      <x:c r="AB511" s="32"/>
      <x:c r="AC511" s="32"/>
      <x:c r="AD511" s="32"/>
      <x:c r="AE511" s="32"/>
      <x:c r="AF511" s="32"/>
      <x:c r="AG511" s="33" t="str">
        <x:f>IF(OR(AE511="",AF511=""),"",IF(AE511="Positif",IF(AF511="Positif","TP","FN"),IF(AF511="Positif","FP","TN")))</x:f>
      </x:c>
    </x:row>
    <x:row r="512">
      <x:c r="A512" s="32"/>
      <x:c r="B512" s="32"/>
      <x:c r="C512" s="32"/>
      <x:c r="D512" s="35"/>
      <x:c r="E512" s="32"/>
      <x:c r="F512" s="32"/>
      <x:c r="G512" s="32"/>
      <x:c r="H512" s="32"/>
      <x:c r="I512" s="32"/>
      <x:c r="J512" s="32"/>
      <x:c r="K512" s="32"/>
      <x:c r="L512" s="32"/>
      <x:c r="M512" s="32"/>
      <x:c r="N512" s="37"/>
      <x:c r="O512" s="32"/>
      <x:c r="P512" s="40"/>
      <x:c r="Q512" s="40"/>
      <x:c r="R512" s="41" t="str">
        <x:f>IF(OR(P512="",Q512=""),"",P512-Q512)</x:f>
      </x:c>
      <x:c r="S512" s="32"/>
      <x:c r="T512" s="32"/>
      <x:c r="U512" s="32"/>
      <x:c r="V512" s="32"/>
      <x:c r="W512" s="32"/>
      <x:c r="X512" s="32"/>
      <x:c r="Y512" s="43" t="str">
        <x:f>IF(OR(X512="",X512="Pending"),"",IF(X512="Rejected",0,IF(AND(U512="Ya",V512="Ya",W512="Ya"),1,"")))</x:f>
      </x:c>
      <x:c r="AA512" s="32"/>
      <x:c r="AB512" s="32"/>
      <x:c r="AC512" s="32"/>
      <x:c r="AD512" s="32"/>
      <x:c r="AE512" s="32"/>
      <x:c r="AF512" s="32"/>
      <x:c r="AG512" s="33" t="str">
        <x:f>IF(OR(AE512="",AF512=""),"",IF(AE512="Positif",IF(AF512="Positif","TP","FN"),IF(AF512="Positif","FP","TN")))</x:f>
      </x:c>
    </x:row>
    <x:row r="513">
      <x:c r="A513" s="32"/>
      <x:c r="B513" s="32"/>
      <x:c r="C513" s="32"/>
      <x:c r="D513" s="35"/>
      <x:c r="E513" s="32"/>
      <x:c r="F513" s="32"/>
      <x:c r="G513" s="32"/>
      <x:c r="H513" s="32"/>
      <x:c r="I513" s="32"/>
      <x:c r="J513" s="32"/>
      <x:c r="K513" s="32"/>
      <x:c r="L513" s="32"/>
      <x:c r="M513" s="32"/>
      <x:c r="N513" s="37"/>
      <x:c r="O513" s="32"/>
      <x:c r="P513" s="40"/>
      <x:c r="Q513" s="40"/>
      <x:c r="R513" s="41" t="str">
        <x:f>IF(OR(P513="",Q513=""),"",P513-Q513)</x:f>
      </x:c>
      <x:c r="S513" s="32"/>
      <x:c r="T513" s="32"/>
      <x:c r="U513" s="32"/>
      <x:c r="V513" s="32"/>
      <x:c r="W513" s="32"/>
      <x:c r="X513" s="32"/>
      <x:c r="Y513" s="43" t="str">
        <x:f>IF(OR(X513="",X513="Pending"),"",IF(X513="Rejected",0,IF(AND(U513="Ya",V513="Ya",W513="Ya"),1,"")))</x:f>
      </x:c>
      <x:c r="AA513" s="32"/>
      <x:c r="AB513" s="32"/>
      <x:c r="AC513" s="32"/>
      <x:c r="AD513" s="32"/>
      <x:c r="AE513" s="32"/>
      <x:c r="AF513" s="32"/>
      <x:c r="AG513" s="33" t="str">
        <x:f>IF(OR(AE513="",AF513=""),"",IF(AE513="Positif",IF(AF513="Positif","TP","FN"),IF(AF513="Positif","FP","TN")))</x:f>
      </x:c>
    </x:row>
    <x:row r="514">
      <x:c r="A514" s="32"/>
      <x:c r="B514" s="32"/>
      <x:c r="C514" s="32"/>
      <x:c r="D514" s="35"/>
      <x:c r="E514" s="32"/>
      <x:c r="F514" s="32"/>
      <x:c r="G514" s="32"/>
      <x:c r="H514" s="32"/>
      <x:c r="I514" s="32"/>
      <x:c r="J514" s="32"/>
      <x:c r="K514" s="32"/>
      <x:c r="L514" s="32"/>
      <x:c r="M514" s="32"/>
      <x:c r="N514" s="37"/>
      <x:c r="O514" s="32"/>
      <x:c r="P514" s="40"/>
      <x:c r="Q514" s="40"/>
      <x:c r="R514" s="41" t="str">
        <x:f>IF(OR(P514="",Q514=""),"",P514-Q514)</x:f>
      </x:c>
      <x:c r="S514" s="32"/>
      <x:c r="T514" s="32"/>
      <x:c r="U514" s="32"/>
      <x:c r="V514" s="32"/>
      <x:c r="W514" s="32"/>
      <x:c r="X514" s="32"/>
      <x:c r="Y514" s="43" t="str">
        <x:f>IF(OR(X514="",X514="Pending"),"",IF(X514="Rejected",0,IF(AND(U514="Ya",V514="Ya",W514="Ya"),1,"")))</x:f>
      </x:c>
      <x:c r="AA514" s="32"/>
      <x:c r="AB514" s="32"/>
      <x:c r="AC514" s="32"/>
      <x:c r="AD514" s="32"/>
      <x:c r="AE514" s="32"/>
      <x:c r="AF514" s="32"/>
      <x:c r="AG514" s="33" t="str">
        <x:f>IF(OR(AE514="",AF514=""),"",IF(AE514="Positif",IF(AF514="Positif","TP","FN"),IF(AF514="Positif","FP","TN")))</x:f>
      </x:c>
    </x:row>
    <x:row r="515">
      <x:c r="A515" s="32"/>
      <x:c r="B515" s="32"/>
      <x:c r="C515" s="32"/>
      <x:c r="D515" s="35"/>
      <x:c r="E515" s="32"/>
      <x:c r="F515" s="32"/>
      <x:c r="G515" s="32"/>
      <x:c r="H515" s="32"/>
      <x:c r="I515" s="32"/>
      <x:c r="J515" s="32"/>
      <x:c r="K515" s="32"/>
      <x:c r="L515" s="32"/>
      <x:c r="M515" s="32"/>
      <x:c r="N515" s="37"/>
      <x:c r="O515" s="32"/>
      <x:c r="P515" s="40"/>
      <x:c r="Q515" s="40"/>
      <x:c r="R515" s="41" t="str">
        <x:f>IF(OR(P515="",Q515=""),"",P515-Q515)</x:f>
      </x:c>
      <x:c r="S515" s="32"/>
      <x:c r="T515" s="32"/>
      <x:c r="U515" s="32"/>
      <x:c r="V515" s="32"/>
      <x:c r="W515" s="32"/>
      <x:c r="X515" s="32"/>
      <x:c r="Y515" s="43" t="str">
        <x:f>IF(OR(X515="",X515="Pending"),"",IF(X515="Rejected",0,IF(AND(U515="Ya",V515="Ya",W515="Ya"),1,"")))</x:f>
      </x:c>
      <x:c r="AA515" s="32"/>
      <x:c r="AB515" s="32"/>
      <x:c r="AC515" s="32"/>
      <x:c r="AD515" s="32"/>
      <x:c r="AE515" s="32"/>
      <x:c r="AF515" s="32"/>
      <x:c r="AG515" s="33" t="str">
        <x:f>IF(OR(AE515="",AF515=""),"",IF(AE515="Positif",IF(AF515="Positif","TP","FN"),IF(AF515="Positif","FP","TN")))</x:f>
      </x:c>
    </x:row>
    <x:row r="516">
      <x:c r="A516" s="32"/>
      <x:c r="B516" s="32"/>
      <x:c r="C516" s="32"/>
      <x:c r="D516" s="35"/>
      <x:c r="E516" s="32"/>
      <x:c r="F516" s="32"/>
      <x:c r="G516" s="32"/>
      <x:c r="H516" s="32"/>
      <x:c r="I516" s="32"/>
      <x:c r="J516" s="32"/>
      <x:c r="K516" s="32"/>
      <x:c r="L516" s="32"/>
      <x:c r="M516" s="32"/>
      <x:c r="N516" s="37"/>
      <x:c r="O516" s="32"/>
      <x:c r="P516" s="40"/>
      <x:c r="Q516" s="40"/>
      <x:c r="R516" s="41" t="str">
        <x:f>IF(OR(P516="",Q516=""),"",P516-Q516)</x:f>
      </x:c>
      <x:c r="S516" s="32"/>
      <x:c r="T516" s="32"/>
      <x:c r="U516" s="32"/>
      <x:c r="V516" s="32"/>
      <x:c r="W516" s="32"/>
      <x:c r="X516" s="32"/>
      <x:c r="Y516" s="43" t="str">
        <x:f>IF(OR(X516="",X516="Pending"),"",IF(X516="Rejected",0,IF(AND(U516="Ya",V516="Ya",W516="Ya"),1,"")))</x:f>
      </x:c>
      <x:c r="AA516" s="32"/>
      <x:c r="AB516" s="32"/>
      <x:c r="AC516" s="32"/>
      <x:c r="AD516" s="32"/>
      <x:c r="AE516" s="32"/>
      <x:c r="AF516" s="32"/>
      <x:c r="AG516" s="33" t="str">
        <x:f>IF(OR(AE516="",AF516=""),"",IF(AE516="Positif",IF(AF516="Positif","TP","FN"),IF(AF516="Positif","FP","TN")))</x:f>
      </x:c>
    </x:row>
    <x:row r="517">
      <x:c r="A517" s="32"/>
      <x:c r="B517" s="32"/>
      <x:c r="C517" s="32"/>
      <x:c r="D517" s="35"/>
      <x:c r="E517" s="32"/>
      <x:c r="F517" s="32"/>
      <x:c r="G517" s="32"/>
      <x:c r="H517" s="32"/>
      <x:c r="I517" s="32"/>
      <x:c r="J517" s="32"/>
      <x:c r="K517" s="32"/>
      <x:c r="L517" s="32"/>
      <x:c r="M517" s="32"/>
      <x:c r="N517" s="37"/>
      <x:c r="O517" s="32"/>
      <x:c r="P517" s="40"/>
      <x:c r="Q517" s="40"/>
      <x:c r="R517" s="41" t="str">
        <x:f>IF(OR(P517="",Q517=""),"",P517-Q517)</x:f>
      </x:c>
      <x:c r="S517" s="32"/>
      <x:c r="T517" s="32"/>
      <x:c r="U517" s="32"/>
      <x:c r="V517" s="32"/>
      <x:c r="W517" s="32"/>
      <x:c r="X517" s="32"/>
      <x:c r="Y517" s="43" t="str">
        <x:f>IF(OR(X517="",X517="Pending"),"",IF(X517="Rejected",0,IF(AND(U517="Ya",V517="Ya",W517="Ya"),1,"")))</x:f>
      </x:c>
      <x:c r="AA517" s="32"/>
      <x:c r="AB517" s="32"/>
      <x:c r="AC517" s="32"/>
      <x:c r="AD517" s="32"/>
      <x:c r="AE517" s="32"/>
      <x:c r="AF517" s="32"/>
      <x:c r="AG517" s="33" t="str">
        <x:f>IF(OR(AE517="",AF517=""),"",IF(AE517="Positif",IF(AF517="Positif","TP","FN"),IF(AF517="Positif","FP","TN")))</x:f>
      </x:c>
    </x:row>
    <x:row r="518">
      <x:c r="A518" s="32"/>
      <x:c r="B518" s="32"/>
      <x:c r="C518" s="32"/>
      <x:c r="D518" s="35"/>
      <x:c r="E518" s="32"/>
      <x:c r="F518" s="32"/>
      <x:c r="G518" s="32"/>
      <x:c r="H518" s="32"/>
      <x:c r="I518" s="32"/>
      <x:c r="J518" s="32"/>
      <x:c r="K518" s="32"/>
      <x:c r="L518" s="32"/>
      <x:c r="M518" s="32"/>
      <x:c r="N518" s="37"/>
      <x:c r="O518" s="32"/>
      <x:c r="P518" s="40"/>
      <x:c r="Q518" s="40"/>
      <x:c r="R518" s="41" t="str">
        <x:f>IF(OR(P518="",Q518=""),"",P518-Q518)</x:f>
      </x:c>
      <x:c r="S518" s="32"/>
      <x:c r="T518" s="32"/>
      <x:c r="U518" s="32"/>
      <x:c r="V518" s="32"/>
      <x:c r="W518" s="32"/>
      <x:c r="X518" s="32"/>
      <x:c r="Y518" s="43" t="str">
        <x:f>IF(OR(X518="",X518="Pending"),"",IF(X518="Rejected",0,IF(AND(U518="Ya",V518="Ya",W518="Ya"),1,"")))</x:f>
      </x:c>
      <x:c r="AA518" s="32"/>
      <x:c r="AB518" s="32"/>
      <x:c r="AC518" s="32"/>
      <x:c r="AD518" s="32"/>
      <x:c r="AE518" s="32"/>
      <x:c r="AF518" s="32"/>
      <x:c r="AG518" s="33" t="str">
        <x:f>IF(OR(AE518="",AF518=""),"",IF(AE518="Positif",IF(AF518="Positif","TP","FN"),IF(AF518="Positif","FP","TN")))</x:f>
      </x:c>
    </x:row>
    <x:row r="519">
      <x:c r="A519" s="32"/>
      <x:c r="B519" s="32"/>
      <x:c r="C519" s="32"/>
      <x:c r="D519" s="35"/>
      <x:c r="E519" s="32"/>
      <x:c r="F519" s="32"/>
      <x:c r="G519" s="32"/>
      <x:c r="H519" s="32"/>
      <x:c r="I519" s="32"/>
      <x:c r="J519" s="32"/>
      <x:c r="K519" s="32"/>
      <x:c r="L519" s="32"/>
      <x:c r="M519" s="32"/>
      <x:c r="N519" s="37"/>
      <x:c r="O519" s="32"/>
      <x:c r="P519" s="40"/>
      <x:c r="Q519" s="40"/>
      <x:c r="R519" s="41" t="str">
        <x:f>IF(OR(P519="",Q519=""),"",P519-Q519)</x:f>
      </x:c>
      <x:c r="S519" s="32"/>
      <x:c r="T519" s="32"/>
      <x:c r="U519" s="32"/>
      <x:c r="V519" s="32"/>
      <x:c r="W519" s="32"/>
      <x:c r="X519" s="32"/>
      <x:c r="Y519" s="43" t="str">
        <x:f>IF(OR(X519="",X519="Pending"),"",IF(X519="Rejected",0,IF(AND(U519="Ya",V519="Ya",W519="Ya"),1,"")))</x:f>
      </x:c>
      <x:c r="AA519" s="32"/>
      <x:c r="AB519" s="32"/>
      <x:c r="AC519" s="32"/>
      <x:c r="AD519" s="32"/>
      <x:c r="AE519" s="32"/>
      <x:c r="AF519" s="32"/>
      <x:c r="AG519" s="33" t="str">
        <x:f>IF(OR(AE519="",AF519=""),"",IF(AE519="Positif",IF(AF519="Positif","TP","FN"),IF(AF519="Positif","FP","TN")))</x:f>
      </x:c>
    </x:row>
    <x:row r="520">
      <x:c r="A520" s="32"/>
      <x:c r="B520" s="32"/>
      <x:c r="C520" s="32"/>
      <x:c r="D520" s="35"/>
      <x:c r="E520" s="32"/>
      <x:c r="F520" s="32"/>
      <x:c r="G520" s="32"/>
      <x:c r="H520" s="32"/>
      <x:c r="I520" s="32"/>
      <x:c r="J520" s="32"/>
      <x:c r="K520" s="32"/>
      <x:c r="L520" s="32"/>
      <x:c r="M520" s="32"/>
      <x:c r="N520" s="37"/>
      <x:c r="O520" s="32"/>
      <x:c r="P520" s="40"/>
      <x:c r="Q520" s="40"/>
      <x:c r="R520" s="41" t="str">
        <x:f>IF(OR(P520="",Q520=""),"",P520-Q520)</x:f>
      </x:c>
      <x:c r="S520" s="32"/>
      <x:c r="T520" s="32"/>
      <x:c r="U520" s="32"/>
      <x:c r="V520" s="32"/>
      <x:c r="W520" s="32"/>
      <x:c r="X520" s="32"/>
      <x:c r="Y520" s="43" t="str">
        <x:f>IF(OR(X520="",X520="Pending"),"",IF(X520="Rejected",0,IF(AND(U520="Ya",V520="Ya",W520="Ya"),1,"")))</x:f>
      </x:c>
      <x:c r="AA520" s="32"/>
      <x:c r="AB520" s="32"/>
      <x:c r="AC520" s="32"/>
      <x:c r="AD520" s="32"/>
      <x:c r="AE520" s="32"/>
      <x:c r="AF520" s="32"/>
      <x:c r="AG520" s="33" t="str">
        <x:f>IF(OR(AE520="",AF520=""),"",IF(AE520="Positif",IF(AF520="Positif","TP","FN"),IF(AF520="Positif","FP","TN")))</x:f>
      </x:c>
    </x:row>
    <x:row r="521">
      <x:c r="A521" s="32"/>
      <x:c r="B521" s="32"/>
      <x:c r="C521" s="32"/>
      <x:c r="D521" s="35"/>
      <x:c r="E521" s="32"/>
      <x:c r="F521" s="32"/>
      <x:c r="G521" s="32"/>
      <x:c r="H521" s="32"/>
      <x:c r="I521" s="32"/>
      <x:c r="J521" s="32"/>
      <x:c r="K521" s="32"/>
      <x:c r="L521" s="32"/>
      <x:c r="M521" s="32"/>
      <x:c r="N521" s="37"/>
      <x:c r="O521" s="32"/>
      <x:c r="P521" s="40"/>
      <x:c r="Q521" s="40"/>
      <x:c r="R521" s="41" t="str">
        <x:f>IF(OR(P521="",Q521=""),"",P521-Q521)</x:f>
      </x:c>
      <x:c r="S521" s="32"/>
      <x:c r="T521" s="32"/>
      <x:c r="U521" s="32"/>
      <x:c r="V521" s="32"/>
      <x:c r="W521" s="32"/>
      <x:c r="X521" s="32"/>
      <x:c r="Y521" s="43" t="str">
        <x:f>IF(OR(X521="",X521="Pending"),"",IF(X521="Rejected",0,IF(AND(U521="Ya",V521="Ya",W521="Ya"),1,"")))</x:f>
      </x:c>
      <x:c r="AA521" s="32"/>
      <x:c r="AB521" s="32"/>
      <x:c r="AC521" s="32"/>
      <x:c r="AD521" s="32"/>
      <x:c r="AE521" s="32"/>
      <x:c r="AF521" s="32"/>
      <x:c r="AG521" s="33" t="str">
        <x:f>IF(OR(AE521="",AF521=""),"",IF(AE521="Positif",IF(AF521="Positif","TP","FN"),IF(AF521="Positif","FP","TN")))</x:f>
      </x:c>
    </x:row>
    <x:row r="522">
      <x:c r="A522" s="32"/>
      <x:c r="B522" s="32"/>
      <x:c r="C522" s="32"/>
      <x:c r="D522" s="35"/>
      <x:c r="E522" s="32"/>
      <x:c r="F522" s="32"/>
      <x:c r="G522" s="32"/>
      <x:c r="H522" s="32"/>
      <x:c r="I522" s="32"/>
      <x:c r="J522" s="32"/>
      <x:c r="K522" s="32"/>
      <x:c r="L522" s="32"/>
      <x:c r="M522" s="32"/>
      <x:c r="N522" s="37"/>
      <x:c r="O522" s="32"/>
      <x:c r="P522" s="40"/>
      <x:c r="Q522" s="40"/>
      <x:c r="R522" s="41" t="str">
        <x:f>IF(OR(P522="",Q522=""),"",P522-Q522)</x:f>
      </x:c>
      <x:c r="S522" s="32"/>
      <x:c r="T522" s="32"/>
      <x:c r="U522" s="32"/>
      <x:c r="V522" s="32"/>
      <x:c r="W522" s="32"/>
      <x:c r="X522" s="32"/>
      <x:c r="Y522" s="43" t="str">
        <x:f>IF(OR(X522="",X522="Pending"),"",IF(X522="Rejected",0,IF(AND(U522="Ya",V522="Ya",W522="Ya"),1,"")))</x:f>
      </x:c>
      <x:c r="AA522" s="32"/>
      <x:c r="AB522" s="32"/>
      <x:c r="AC522" s="32"/>
      <x:c r="AD522" s="32"/>
      <x:c r="AE522" s="32"/>
      <x:c r="AF522" s="32"/>
      <x:c r="AG522" s="33" t="str">
        <x:f>IF(OR(AE522="",AF522=""),"",IF(AE522="Positif",IF(AF522="Positif","TP","FN"),IF(AF522="Positif","FP","TN")))</x:f>
      </x:c>
    </x:row>
    <x:row r="523">
      <x:c r="A523" s="32"/>
      <x:c r="B523" s="32"/>
      <x:c r="C523" s="32"/>
      <x:c r="D523" s="35"/>
      <x:c r="E523" s="32"/>
      <x:c r="F523" s="32"/>
      <x:c r="G523" s="32"/>
      <x:c r="H523" s="32"/>
      <x:c r="I523" s="32"/>
      <x:c r="J523" s="32"/>
      <x:c r="K523" s="32"/>
      <x:c r="L523" s="32"/>
      <x:c r="M523" s="32"/>
      <x:c r="N523" s="37"/>
      <x:c r="O523" s="32"/>
      <x:c r="P523" s="40"/>
      <x:c r="Q523" s="40"/>
      <x:c r="R523" s="41" t="str">
        <x:f>IF(OR(P523="",Q523=""),"",P523-Q523)</x:f>
      </x:c>
      <x:c r="S523" s="32"/>
      <x:c r="T523" s="32"/>
      <x:c r="U523" s="32"/>
      <x:c r="V523" s="32"/>
      <x:c r="W523" s="32"/>
      <x:c r="X523" s="32"/>
      <x:c r="Y523" s="43" t="str">
        <x:f>IF(OR(X523="",X523="Pending"),"",IF(X523="Rejected",0,IF(AND(U523="Ya",V523="Ya",W523="Ya"),1,"")))</x:f>
      </x:c>
      <x:c r="AA523" s="32"/>
      <x:c r="AB523" s="32"/>
      <x:c r="AC523" s="32"/>
      <x:c r="AD523" s="32"/>
      <x:c r="AE523" s="32"/>
      <x:c r="AF523" s="32"/>
      <x:c r="AG523" s="33" t="str">
        <x:f>IF(OR(AE523="",AF523=""),"",IF(AE523="Positif",IF(AF523="Positif","TP","FN"),IF(AF523="Positif","FP","TN")))</x:f>
      </x:c>
    </x:row>
    <x:row r="524">
      <x:c r="A524" s="32"/>
      <x:c r="B524" s="32"/>
      <x:c r="C524" s="32"/>
      <x:c r="D524" s="35"/>
      <x:c r="E524" s="32"/>
      <x:c r="F524" s="32"/>
      <x:c r="G524" s="32"/>
      <x:c r="H524" s="32"/>
      <x:c r="I524" s="32"/>
      <x:c r="J524" s="32"/>
      <x:c r="K524" s="32"/>
      <x:c r="L524" s="32"/>
      <x:c r="M524" s="32"/>
      <x:c r="N524" s="37"/>
      <x:c r="O524" s="32"/>
      <x:c r="P524" s="40"/>
      <x:c r="Q524" s="40"/>
      <x:c r="R524" s="41" t="str">
        <x:f>IF(OR(P524="",Q524=""),"",P524-Q524)</x:f>
      </x:c>
      <x:c r="S524" s="32"/>
      <x:c r="T524" s="32"/>
      <x:c r="U524" s="32"/>
      <x:c r="V524" s="32"/>
      <x:c r="W524" s="32"/>
      <x:c r="X524" s="32"/>
      <x:c r="Y524" s="43" t="str">
        <x:f>IF(OR(X524="",X524="Pending"),"",IF(X524="Rejected",0,IF(AND(U524="Ya",V524="Ya",W524="Ya"),1,"")))</x:f>
      </x:c>
      <x:c r="AA524" s="32"/>
      <x:c r="AB524" s="32"/>
      <x:c r="AC524" s="32"/>
      <x:c r="AD524" s="32"/>
      <x:c r="AE524" s="32"/>
      <x:c r="AF524" s="32"/>
      <x:c r="AG524" s="33" t="str">
        <x:f>IF(OR(AE524="",AF524=""),"",IF(AE524="Positif",IF(AF524="Positif","TP","FN"),IF(AF524="Positif","FP","TN")))</x:f>
      </x:c>
    </x:row>
    <x:row r="525">
      <x:c r="A525" s="32"/>
      <x:c r="B525" s="32"/>
      <x:c r="C525" s="32"/>
      <x:c r="D525" s="35"/>
      <x:c r="E525" s="32"/>
      <x:c r="F525" s="32"/>
      <x:c r="G525" s="32"/>
      <x:c r="H525" s="32"/>
      <x:c r="I525" s="32"/>
      <x:c r="J525" s="32"/>
      <x:c r="K525" s="32"/>
      <x:c r="L525" s="32"/>
      <x:c r="M525" s="32"/>
      <x:c r="N525" s="37"/>
      <x:c r="O525" s="32"/>
      <x:c r="P525" s="40"/>
      <x:c r="Q525" s="40"/>
      <x:c r="R525" s="41" t="str">
        <x:f>IF(OR(P525="",Q525=""),"",P525-Q525)</x:f>
      </x:c>
      <x:c r="S525" s="32"/>
      <x:c r="T525" s="32"/>
      <x:c r="U525" s="32"/>
      <x:c r="V525" s="32"/>
      <x:c r="W525" s="32"/>
      <x:c r="X525" s="32"/>
      <x:c r="Y525" s="43" t="str">
        <x:f>IF(OR(X525="",X525="Pending"),"",IF(X525="Rejected",0,IF(AND(U525="Ya",V525="Ya",W525="Ya"),1,"")))</x:f>
      </x:c>
      <x:c r="AA525" s="32"/>
      <x:c r="AB525" s="32"/>
      <x:c r="AC525" s="32"/>
      <x:c r="AD525" s="32"/>
      <x:c r="AE525" s="32"/>
      <x:c r="AF525" s="32"/>
      <x:c r="AG525" s="33" t="str">
        <x:f>IF(OR(AE525="",AF525=""),"",IF(AE525="Positif",IF(AF525="Positif","TP","FN"),IF(AF525="Positif","FP","TN")))</x:f>
      </x:c>
    </x:row>
    <x:row r="526">
      <x:c r="A526" s="32"/>
      <x:c r="B526" s="32"/>
      <x:c r="C526" s="32"/>
      <x:c r="D526" s="35"/>
      <x:c r="E526" s="32"/>
      <x:c r="F526" s="32"/>
      <x:c r="G526" s="32"/>
      <x:c r="H526" s="32"/>
      <x:c r="I526" s="32"/>
      <x:c r="J526" s="32"/>
      <x:c r="K526" s="32"/>
      <x:c r="L526" s="32"/>
      <x:c r="M526" s="32"/>
      <x:c r="N526" s="37"/>
      <x:c r="O526" s="32"/>
      <x:c r="P526" s="40"/>
      <x:c r="Q526" s="40"/>
      <x:c r="R526" s="41" t="str">
        <x:f>IF(OR(P526="",Q526=""),"",P526-Q526)</x:f>
      </x:c>
      <x:c r="S526" s="32"/>
      <x:c r="T526" s="32"/>
      <x:c r="U526" s="32"/>
      <x:c r="V526" s="32"/>
      <x:c r="W526" s="32"/>
      <x:c r="X526" s="32"/>
      <x:c r="Y526" s="43" t="str">
        <x:f>IF(OR(X526="",X526="Pending"),"",IF(X526="Rejected",0,IF(AND(U526="Ya",V526="Ya",W526="Ya"),1,"")))</x:f>
      </x:c>
      <x:c r="AA526" s="32"/>
      <x:c r="AB526" s="32"/>
      <x:c r="AC526" s="32"/>
      <x:c r="AD526" s="32"/>
      <x:c r="AE526" s="32"/>
      <x:c r="AF526" s="32"/>
      <x:c r="AG526" s="33" t="str">
        <x:f>IF(OR(AE526="",AF526=""),"",IF(AE526="Positif",IF(AF526="Positif","TP","FN"),IF(AF526="Positif","FP","TN")))</x:f>
      </x:c>
    </x:row>
    <x:row r="527">
      <x:c r="A527" s="32"/>
      <x:c r="B527" s="32"/>
      <x:c r="C527" s="32"/>
      <x:c r="D527" s="35"/>
      <x:c r="E527" s="32"/>
      <x:c r="F527" s="32"/>
      <x:c r="G527" s="32"/>
      <x:c r="H527" s="32"/>
      <x:c r="I527" s="32"/>
      <x:c r="J527" s="32"/>
      <x:c r="K527" s="32"/>
      <x:c r="L527" s="32"/>
      <x:c r="M527" s="32"/>
      <x:c r="N527" s="37"/>
      <x:c r="O527" s="32"/>
      <x:c r="P527" s="40"/>
      <x:c r="Q527" s="40"/>
      <x:c r="R527" s="41" t="str">
        <x:f>IF(OR(P527="",Q527=""),"",P527-Q527)</x:f>
      </x:c>
      <x:c r="S527" s="32"/>
      <x:c r="T527" s="32"/>
      <x:c r="U527" s="32"/>
      <x:c r="V527" s="32"/>
      <x:c r="W527" s="32"/>
      <x:c r="X527" s="32"/>
      <x:c r="Y527" s="43" t="str">
        <x:f>IF(OR(X527="",X527="Pending"),"",IF(X527="Rejected",0,IF(AND(U527="Ya",V527="Ya",W527="Ya"),1,"")))</x:f>
      </x:c>
      <x:c r="AA527" s="32"/>
      <x:c r="AB527" s="32"/>
      <x:c r="AC527" s="32"/>
      <x:c r="AD527" s="32"/>
      <x:c r="AE527" s="32"/>
      <x:c r="AF527" s="32"/>
      <x:c r="AG527" s="33" t="str">
        <x:f>IF(OR(AE527="",AF527=""),"",IF(AE527="Positif",IF(AF527="Positif","TP","FN"),IF(AF527="Positif","FP","TN")))</x:f>
      </x:c>
    </x:row>
    <x:row r="528">
      <x:c r="A528" s="32"/>
      <x:c r="B528" s="32"/>
      <x:c r="C528" s="32"/>
      <x:c r="D528" s="35"/>
      <x:c r="E528" s="32"/>
      <x:c r="F528" s="32"/>
      <x:c r="G528" s="32"/>
      <x:c r="H528" s="32"/>
      <x:c r="I528" s="32"/>
      <x:c r="J528" s="32"/>
      <x:c r="K528" s="32"/>
      <x:c r="L528" s="32"/>
      <x:c r="M528" s="32"/>
      <x:c r="N528" s="37"/>
      <x:c r="O528" s="32"/>
      <x:c r="P528" s="40"/>
      <x:c r="Q528" s="40"/>
      <x:c r="R528" s="41" t="str">
        <x:f>IF(OR(P528="",Q528=""),"",P528-Q528)</x:f>
      </x:c>
      <x:c r="S528" s="32"/>
      <x:c r="T528" s="32"/>
      <x:c r="U528" s="32"/>
      <x:c r="V528" s="32"/>
      <x:c r="W528" s="32"/>
      <x:c r="X528" s="32"/>
      <x:c r="Y528" s="43" t="str">
        <x:f>IF(OR(X528="",X528="Pending"),"",IF(X528="Rejected",0,IF(AND(U528="Ya",V528="Ya",W528="Ya"),1,"")))</x:f>
      </x:c>
      <x:c r="AA528" s="32"/>
      <x:c r="AB528" s="32"/>
      <x:c r="AC528" s="32"/>
      <x:c r="AD528" s="32"/>
      <x:c r="AE528" s="32"/>
      <x:c r="AF528" s="32"/>
      <x:c r="AG528" s="33" t="str">
        <x:f>IF(OR(AE528="",AF528=""),"",IF(AE528="Positif",IF(AF528="Positif","TP","FN"),IF(AF528="Positif","FP","TN")))</x:f>
      </x:c>
    </x:row>
    <x:row r="529">
      <x:c r="A529" s="32"/>
      <x:c r="B529" s="32"/>
      <x:c r="C529" s="32"/>
      <x:c r="D529" s="35"/>
      <x:c r="E529" s="32"/>
      <x:c r="F529" s="32"/>
      <x:c r="G529" s="32"/>
      <x:c r="H529" s="32"/>
      <x:c r="I529" s="32"/>
      <x:c r="J529" s="32"/>
      <x:c r="K529" s="32"/>
      <x:c r="L529" s="32"/>
      <x:c r="M529" s="32"/>
      <x:c r="N529" s="37"/>
      <x:c r="O529" s="32"/>
      <x:c r="P529" s="40"/>
      <x:c r="Q529" s="40"/>
      <x:c r="R529" s="41" t="str">
        <x:f>IF(OR(P529="",Q529=""),"",P529-Q529)</x:f>
      </x:c>
      <x:c r="S529" s="32"/>
      <x:c r="T529" s="32"/>
      <x:c r="U529" s="32"/>
      <x:c r="V529" s="32"/>
      <x:c r="W529" s="32"/>
      <x:c r="X529" s="32"/>
      <x:c r="Y529" s="43" t="str">
        <x:f>IF(OR(X529="",X529="Pending"),"",IF(X529="Rejected",0,IF(AND(U529="Ya",V529="Ya",W529="Ya"),1,"")))</x:f>
      </x:c>
      <x:c r="AA529" s="32"/>
      <x:c r="AB529" s="32"/>
      <x:c r="AC529" s="32"/>
      <x:c r="AD529" s="32"/>
      <x:c r="AE529" s="32"/>
      <x:c r="AF529" s="32"/>
      <x:c r="AG529" s="33" t="str">
        <x:f>IF(OR(AE529="",AF529=""),"",IF(AE529="Positif",IF(AF529="Positif","TP","FN"),IF(AF529="Positif","FP","TN")))</x:f>
      </x:c>
    </x:row>
    <x:row r="530">
      <x:c r="A530" s="32"/>
      <x:c r="B530" s="32"/>
      <x:c r="C530" s="32"/>
      <x:c r="D530" s="35"/>
      <x:c r="E530" s="32"/>
      <x:c r="F530" s="32"/>
      <x:c r="G530" s="32"/>
      <x:c r="H530" s="32"/>
      <x:c r="I530" s="32"/>
      <x:c r="J530" s="32"/>
      <x:c r="K530" s="32"/>
      <x:c r="L530" s="32"/>
      <x:c r="M530" s="32"/>
      <x:c r="N530" s="37"/>
      <x:c r="O530" s="32"/>
      <x:c r="P530" s="40"/>
      <x:c r="Q530" s="40"/>
      <x:c r="R530" s="41" t="str">
        <x:f>IF(OR(P530="",Q530=""),"",P530-Q530)</x:f>
      </x:c>
      <x:c r="S530" s="32"/>
      <x:c r="T530" s="32"/>
      <x:c r="U530" s="32"/>
      <x:c r="V530" s="32"/>
      <x:c r="W530" s="32"/>
      <x:c r="X530" s="32"/>
      <x:c r="Y530" s="43" t="str">
        <x:f>IF(OR(X530="",X530="Pending"),"",IF(X530="Rejected",0,IF(AND(U530="Ya",V530="Ya",W530="Ya"),1,"")))</x:f>
      </x:c>
      <x:c r="AA530" s="32"/>
      <x:c r="AB530" s="32"/>
      <x:c r="AC530" s="32"/>
      <x:c r="AD530" s="32"/>
      <x:c r="AE530" s="32"/>
      <x:c r="AF530" s="32"/>
      <x:c r="AG530" s="33" t="str">
        <x:f>IF(OR(AE530="",AF530=""),"",IF(AE530="Positif",IF(AF530="Positif","TP","FN"),IF(AF530="Positif","FP","TN")))</x:f>
      </x:c>
    </x:row>
    <x:row r="531">
      <x:c r="A531" s="32"/>
      <x:c r="B531" s="32"/>
      <x:c r="C531" s="32"/>
      <x:c r="D531" s="35"/>
      <x:c r="E531" s="32"/>
      <x:c r="F531" s="32"/>
      <x:c r="G531" s="32"/>
      <x:c r="H531" s="32"/>
      <x:c r="I531" s="32"/>
      <x:c r="J531" s="32"/>
      <x:c r="K531" s="32"/>
      <x:c r="L531" s="32"/>
      <x:c r="M531" s="32"/>
      <x:c r="N531" s="37"/>
      <x:c r="O531" s="32"/>
      <x:c r="P531" s="40"/>
      <x:c r="Q531" s="40"/>
      <x:c r="R531" s="41" t="str">
        <x:f>IF(OR(P531="",Q531=""),"",P531-Q531)</x:f>
      </x:c>
      <x:c r="S531" s="32"/>
      <x:c r="T531" s="32"/>
      <x:c r="U531" s="32"/>
      <x:c r="V531" s="32"/>
      <x:c r="W531" s="32"/>
      <x:c r="X531" s="32"/>
      <x:c r="Y531" s="43" t="str">
        <x:f>IF(OR(X531="",X531="Pending"),"",IF(X531="Rejected",0,IF(AND(U531="Ya",V531="Ya",W531="Ya"),1,"")))</x:f>
      </x:c>
      <x:c r="AA531" s="32"/>
      <x:c r="AB531" s="32"/>
      <x:c r="AC531" s="32"/>
      <x:c r="AD531" s="32"/>
      <x:c r="AE531" s="32"/>
      <x:c r="AF531" s="32"/>
      <x:c r="AG531" s="33" t="str">
        <x:f>IF(OR(AE531="",AF531=""),"",IF(AE531="Positif",IF(AF531="Positif","TP","FN"),IF(AF531="Positif","FP","TN")))</x:f>
      </x:c>
    </x:row>
    <x:row r="532">
      <x:c r="A532" s="32"/>
      <x:c r="B532" s="32"/>
      <x:c r="C532" s="32"/>
      <x:c r="D532" s="35"/>
      <x:c r="E532" s="32"/>
      <x:c r="F532" s="32"/>
      <x:c r="G532" s="32"/>
      <x:c r="H532" s="32"/>
      <x:c r="I532" s="32"/>
      <x:c r="J532" s="32"/>
      <x:c r="K532" s="32"/>
      <x:c r="L532" s="32"/>
      <x:c r="M532" s="32"/>
      <x:c r="N532" s="37"/>
      <x:c r="O532" s="32"/>
      <x:c r="P532" s="40"/>
      <x:c r="Q532" s="40"/>
      <x:c r="R532" s="41" t="str">
        <x:f>IF(OR(P532="",Q532=""),"",P532-Q532)</x:f>
      </x:c>
      <x:c r="S532" s="32"/>
      <x:c r="T532" s="32"/>
      <x:c r="U532" s="32"/>
      <x:c r="V532" s="32"/>
      <x:c r="W532" s="32"/>
      <x:c r="X532" s="32"/>
      <x:c r="Y532" s="43" t="str">
        <x:f>IF(OR(X532="",X532="Pending"),"",IF(X532="Rejected",0,IF(AND(U532="Ya",V532="Ya",W532="Ya"),1,"")))</x:f>
      </x:c>
      <x:c r="AA532" s="32"/>
      <x:c r="AB532" s="32"/>
      <x:c r="AC532" s="32"/>
      <x:c r="AD532" s="32"/>
      <x:c r="AE532" s="32"/>
      <x:c r="AF532" s="32"/>
      <x:c r="AG532" s="33" t="str">
        <x:f>IF(OR(AE532="",AF532=""),"",IF(AE532="Positif",IF(AF532="Positif","TP","FN"),IF(AF532="Positif","FP","TN")))</x:f>
      </x:c>
    </x:row>
    <x:row r="533">
      <x:c r="A533" s="32"/>
      <x:c r="B533" s="32"/>
      <x:c r="C533" s="32"/>
      <x:c r="D533" s="35"/>
      <x:c r="E533" s="32"/>
      <x:c r="F533" s="32"/>
      <x:c r="G533" s="32"/>
      <x:c r="H533" s="32"/>
      <x:c r="I533" s="32"/>
      <x:c r="J533" s="32"/>
      <x:c r="K533" s="32"/>
      <x:c r="L533" s="32"/>
      <x:c r="M533" s="32"/>
      <x:c r="N533" s="37"/>
      <x:c r="O533" s="32"/>
      <x:c r="P533" s="40"/>
      <x:c r="Q533" s="40"/>
      <x:c r="R533" s="41" t="str">
        <x:f>IF(OR(P533="",Q533=""),"",P533-Q533)</x:f>
      </x:c>
      <x:c r="S533" s="32"/>
      <x:c r="T533" s="32"/>
      <x:c r="U533" s="32"/>
      <x:c r="V533" s="32"/>
      <x:c r="W533" s="32"/>
      <x:c r="X533" s="32"/>
      <x:c r="Y533" s="43" t="str">
        <x:f>IF(OR(X533="",X533="Pending"),"",IF(X533="Rejected",0,IF(AND(U533="Ya",V533="Ya",W533="Ya"),1,"")))</x:f>
      </x:c>
      <x:c r="AA533" s="32"/>
      <x:c r="AB533" s="32"/>
      <x:c r="AC533" s="32"/>
      <x:c r="AD533" s="32"/>
      <x:c r="AE533" s="32"/>
      <x:c r="AF533" s="32"/>
      <x:c r="AG533" s="33" t="str">
        <x:f>IF(OR(AE533="",AF533=""),"",IF(AE533="Positif",IF(AF533="Positif","TP","FN"),IF(AF533="Positif","FP","TN")))</x:f>
      </x:c>
    </x:row>
    <x:row r="534">
      <x:c r="A534" s="32"/>
      <x:c r="B534" s="32"/>
      <x:c r="C534" s="32"/>
      <x:c r="D534" s="35"/>
      <x:c r="E534" s="32"/>
      <x:c r="F534" s="32"/>
      <x:c r="G534" s="32"/>
      <x:c r="H534" s="32"/>
      <x:c r="I534" s="32"/>
      <x:c r="J534" s="32"/>
      <x:c r="K534" s="32"/>
      <x:c r="L534" s="32"/>
      <x:c r="M534" s="32"/>
      <x:c r="N534" s="37"/>
      <x:c r="O534" s="32"/>
      <x:c r="P534" s="40"/>
      <x:c r="Q534" s="40"/>
      <x:c r="R534" s="41" t="str">
        <x:f>IF(OR(P534="",Q534=""),"",P534-Q534)</x:f>
      </x:c>
      <x:c r="S534" s="32"/>
      <x:c r="T534" s="32"/>
      <x:c r="U534" s="32"/>
      <x:c r="V534" s="32"/>
      <x:c r="W534" s="32"/>
      <x:c r="X534" s="32"/>
      <x:c r="Y534" s="43" t="str">
        <x:f>IF(OR(X534="",X534="Pending"),"",IF(X534="Rejected",0,IF(AND(U534="Ya",V534="Ya",W534="Ya"),1,"")))</x:f>
      </x:c>
      <x:c r="AA534" s="32"/>
      <x:c r="AB534" s="32"/>
      <x:c r="AC534" s="32"/>
      <x:c r="AD534" s="32"/>
      <x:c r="AE534" s="32"/>
      <x:c r="AF534" s="32"/>
      <x:c r="AG534" s="33" t="str">
        <x:f>IF(OR(AE534="",AF534=""),"",IF(AE534="Positif",IF(AF534="Positif","TP","FN"),IF(AF534="Positif","FP","TN")))</x:f>
      </x:c>
    </x:row>
    <x:row r="535">
      <x:c r="A535" s="32"/>
      <x:c r="B535" s="32"/>
      <x:c r="C535" s="32"/>
      <x:c r="D535" s="35"/>
      <x:c r="E535" s="32"/>
      <x:c r="F535" s="32"/>
      <x:c r="G535" s="32"/>
      <x:c r="H535" s="32"/>
      <x:c r="I535" s="32"/>
      <x:c r="J535" s="32"/>
      <x:c r="K535" s="32"/>
      <x:c r="L535" s="32"/>
      <x:c r="M535" s="32"/>
      <x:c r="N535" s="37"/>
      <x:c r="O535" s="32"/>
      <x:c r="P535" s="40"/>
      <x:c r="Q535" s="40"/>
      <x:c r="R535" s="41" t="str">
        <x:f>IF(OR(P535="",Q535=""),"",P535-Q535)</x:f>
      </x:c>
      <x:c r="S535" s="32"/>
      <x:c r="T535" s="32"/>
      <x:c r="U535" s="32"/>
      <x:c r="V535" s="32"/>
      <x:c r="W535" s="32"/>
      <x:c r="X535" s="32"/>
      <x:c r="Y535" s="43" t="str">
        <x:f>IF(OR(X535="",X535="Pending"),"",IF(X535="Rejected",0,IF(AND(U535="Ya",V535="Ya",W535="Ya"),1,"")))</x:f>
      </x:c>
      <x:c r="AA535" s="32"/>
      <x:c r="AB535" s="32"/>
      <x:c r="AC535" s="32"/>
      <x:c r="AD535" s="32"/>
      <x:c r="AE535" s="32"/>
      <x:c r="AF535" s="32"/>
      <x:c r="AG535" s="33" t="str">
        <x:f>IF(OR(AE535="",AF535=""),"",IF(AE535="Positif",IF(AF535="Positif","TP","FN"),IF(AF535="Positif","FP","TN")))</x:f>
      </x:c>
    </x:row>
    <x:row r="536">
      <x:c r="A536" s="32"/>
      <x:c r="B536" s="32"/>
      <x:c r="C536" s="32"/>
      <x:c r="D536" s="35"/>
      <x:c r="E536" s="32"/>
      <x:c r="F536" s="32"/>
      <x:c r="G536" s="32"/>
      <x:c r="H536" s="32"/>
      <x:c r="I536" s="32"/>
      <x:c r="J536" s="32"/>
      <x:c r="K536" s="32"/>
      <x:c r="L536" s="32"/>
      <x:c r="M536" s="32"/>
      <x:c r="N536" s="37"/>
      <x:c r="O536" s="32"/>
      <x:c r="P536" s="40"/>
      <x:c r="Q536" s="40"/>
      <x:c r="R536" s="41" t="str">
        <x:f>IF(OR(P536="",Q536=""),"",P536-Q536)</x:f>
      </x:c>
      <x:c r="S536" s="32"/>
      <x:c r="T536" s="32"/>
      <x:c r="U536" s="32"/>
      <x:c r="V536" s="32"/>
      <x:c r="W536" s="32"/>
      <x:c r="X536" s="32"/>
      <x:c r="Y536" s="43" t="str">
        <x:f>IF(OR(X536="",X536="Pending"),"",IF(X536="Rejected",0,IF(AND(U536="Ya",V536="Ya",W536="Ya"),1,"")))</x:f>
      </x:c>
      <x:c r="AA536" s="32"/>
      <x:c r="AB536" s="32"/>
      <x:c r="AC536" s="32"/>
      <x:c r="AD536" s="32"/>
      <x:c r="AE536" s="32"/>
      <x:c r="AF536" s="32"/>
      <x:c r="AG536" s="33" t="str">
        <x:f>IF(OR(AE536="",AF536=""),"",IF(AE536="Positif",IF(AF536="Positif","TP","FN"),IF(AF536="Positif","FP","TN")))</x:f>
      </x:c>
    </x:row>
    <x:row r="537">
      <x:c r="A537" s="32"/>
      <x:c r="B537" s="32"/>
      <x:c r="C537" s="32"/>
      <x:c r="D537" s="35"/>
      <x:c r="E537" s="32"/>
      <x:c r="F537" s="32"/>
      <x:c r="G537" s="32"/>
      <x:c r="H537" s="32"/>
      <x:c r="I537" s="32"/>
      <x:c r="J537" s="32"/>
      <x:c r="K537" s="32"/>
      <x:c r="L537" s="32"/>
      <x:c r="M537" s="32"/>
      <x:c r="N537" s="37"/>
      <x:c r="O537" s="32"/>
      <x:c r="P537" s="40"/>
      <x:c r="Q537" s="40"/>
      <x:c r="R537" s="41" t="str">
        <x:f>IF(OR(P537="",Q537=""),"",P537-Q537)</x:f>
      </x:c>
      <x:c r="S537" s="32"/>
      <x:c r="T537" s="32"/>
      <x:c r="U537" s="32"/>
      <x:c r="V537" s="32"/>
      <x:c r="W537" s="32"/>
      <x:c r="X537" s="32"/>
      <x:c r="Y537" s="43" t="str">
        <x:f>IF(OR(X537="",X537="Pending"),"",IF(X537="Rejected",0,IF(AND(U537="Ya",V537="Ya",W537="Ya"),1,"")))</x:f>
      </x:c>
      <x:c r="AA537" s="32"/>
      <x:c r="AB537" s="32"/>
      <x:c r="AC537" s="32"/>
      <x:c r="AD537" s="32"/>
      <x:c r="AE537" s="32"/>
      <x:c r="AF537" s="32"/>
      <x:c r="AG537" s="33" t="str">
        <x:f>IF(OR(AE537="",AF537=""),"",IF(AE537="Positif",IF(AF537="Positif","TP","FN"),IF(AF537="Positif","FP","TN")))</x:f>
      </x:c>
    </x:row>
    <x:row r="538">
      <x:c r="A538" s="32"/>
      <x:c r="B538" s="32"/>
      <x:c r="C538" s="32"/>
      <x:c r="D538" s="35"/>
      <x:c r="E538" s="32"/>
      <x:c r="F538" s="32"/>
      <x:c r="G538" s="32"/>
      <x:c r="H538" s="32"/>
      <x:c r="I538" s="32"/>
      <x:c r="J538" s="32"/>
      <x:c r="K538" s="32"/>
      <x:c r="L538" s="32"/>
      <x:c r="M538" s="32"/>
      <x:c r="N538" s="37"/>
      <x:c r="O538" s="32"/>
      <x:c r="P538" s="40"/>
      <x:c r="Q538" s="40"/>
      <x:c r="R538" s="41" t="str">
        <x:f>IF(OR(P538="",Q538=""),"",P538-Q538)</x:f>
      </x:c>
      <x:c r="S538" s="32"/>
      <x:c r="T538" s="32"/>
      <x:c r="U538" s="32"/>
      <x:c r="V538" s="32"/>
      <x:c r="W538" s="32"/>
      <x:c r="X538" s="32"/>
      <x:c r="Y538" s="43" t="str">
        <x:f>IF(OR(X538="",X538="Pending"),"",IF(X538="Rejected",0,IF(AND(U538="Ya",V538="Ya",W538="Ya"),1,"")))</x:f>
      </x:c>
      <x:c r="AA538" s="32"/>
      <x:c r="AB538" s="32"/>
      <x:c r="AC538" s="32"/>
      <x:c r="AD538" s="32"/>
      <x:c r="AE538" s="32"/>
      <x:c r="AF538" s="32"/>
      <x:c r="AG538" s="33" t="str">
        <x:f>IF(OR(AE538="",AF538=""),"",IF(AE538="Positif",IF(AF538="Positif","TP","FN"),IF(AF538="Positif","FP","TN")))</x:f>
      </x:c>
    </x:row>
    <x:row r="539">
      <x:c r="A539" s="32"/>
      <x:c r="B539" s="32"/>
      <x:c r="C539" s="32"/>
      <x:c r="D539" s="35"/>
      <x:c r="E539" s="32"/>
      <x:c r="F539" s="32"/>
      <x:c r="G539" s="32"/>
      <x:c r="H539" s="32"/>
      <x:c r="I539" s="32"/>
      <x:c r="J539" s="32"/>
      <x:c r="K539" s="32"/>
      <x:c r="L539" s="32"/>
      <x:c r="M539" s="32"/>
      <x:c r="N539" s="37"/>
      <x:c r="O539" s="32"/>
      <x:c r="P539" s="40"/>
      <x:c r="Q539" s="40"/>
      <x:c r="R539" s="41" t="str">
        <x:f>IF(OR(P539="",Q539=""),"",P539-Q539)</x:f>
      </x:c>
      <x:c r="S539" s="32"/>
      <x:c r="T539" s="32"/>
      <x:c r="U539" s="32"/>
      <x:c r="V539" s="32"/>
      <x:c r="W539" s="32"/>
      <x:c r="X539" s="32"/>
      <x:c r="Y539" s="43" t="str">
        <x:f>IF(OR(X539="",X539="Pending"),"",IF(X539="Rejected",0,IF(AND(U539="Ya",V539="Ya",W539="Ya"),1,"")))</x:f>
      </x:c>
      <x:c r="AA539" s="32"/>
      <x:c r="AB539" s="32"/>
      <x:c r="AC539" s="32"/>
      <x:c r="AD539" s="32"/>
      <x:c r="AE539" s="32"/>
      <x:c r="AF539" s="32"/>
      <x:c r="AG539" s="33" t="str">
        <x:f>IF(OR(AE539="",AF539=""),"",IF(AE539="Positif",IF(AF539="Positif","TP","FN"),IF(AF539="Positif","FP","TN")))</x:f>
      </x:c>
    </x:row>
    <x:row r="540">
      <x:c r="A540" s="32"/>
      <x:c r="B540" s="32"/>
      <x:c r="C540" s="32"/>
      <x:c r="D540" s="35"/>
      <x:c r="E540" s="32"/>
      <x:c r="F540" s="32"/>
      <x:c r="G540" s="32"/>
      <x:c r="H540" s="32"/>
      <x:c r="I540" s="32"/>
      <x:c r="J540" s="32"/>
      <x:c r="K540" s="32"/>
      <x:c r="L540" s="32"/>
      <x:c r="M540" s="32"/>
      <x:c r="N540" s="37"/>
      <x:c r="O540" s="32"/>
      <x:c r="P540" s="40"/>
      <x:c r="Q540" s="40"/>
      <x:c r="R540" s="41" t="str">
        <x:f>IF(OR(P540="",Q540=""),"",P540-Q540)</x:f>
      </x:c>
      <x:c r="S540" s="32"/>
      <x:c r="T540" s="32"/>
      <x:c r="U540" s="32"/>
      <x:c r="V540" s="32"/>
      <x:c r="W540" s="32"/>
      <x:c r="X540" s="32"/>
      <x:c r="Y540" s="43" t="str">
        <x:f>IF(OR(X540="",X540="Pending"),"",IF(X540="Rejected",0,IF(AND(U540="Ya",V540="Ya",W540="Ya"),1,"")))</x:f>
      </x:c>
      <x:c r="AA540" s="32"/>
      <x:c r="AB540" s="32"/>
      <x:c r="AC540" s="32"/>
      <x:c r="AD540" s="32"/>
      <x:c r="AE540" s="32"/>
      <x:c r="AF540" s="32"/>
      <x:c r="AG540" s="33" t="str">
        <x:f>IF(OR(AE540="",AF540=""),"",IF(AE540="Positif",IF(AF540="Positif","TP","FN"),IF(AF540="Positif","FP","TN")))</x:f>
      </x:c>
    </x:row>
    <x:row r="541">
      <x:c r="A541" s="32"/>
      <x:c r="B541" s="32"/>
      <x:c r="C541" s="32"/>
      <x:c r="D541" s="35"/>
      <x:c r="E541" s="32"/>
      <x:c r="F541" s="32"/>
      <x:c r="G541" s="32"/>
      <x:c r="H541" s="32"/>
      <x:c r="I541" s="32"/>
      <x:c r="J541" s="32"/>
      <x:c r="K541" s="32"/>
      <x:c r="L541" s="32"/>
      <x:c r="M541" s="32"/>
      <x:c r="N541" s="37"/>
      <x:c r="O541" s="32"/>
      <x:c r="P541" s="40"/>
      <x:c r="Q541" s="40"/>
      <x:c r="R541" s="41" t="str">
        <x:f>IF(OR(P541="",Q541=""),"",P541-Q541)</x:f>
      </x:c>
      <x:c r="S541" s="32"/>
      <x:c r="T541" s="32"/>
      <x:c r="U541" s="32"/>
      <x:c r="V541" s="32"/>
      <x:c r="W541" s="32"/>
      <x:c r="X541" s="32"/>
      <x:c r="Y541" s="43" t="str">
        <x:f>IF(OR(X541="",X541="Pending"),"",IF(X541="Rejected",0,IF(AND(U541="Ya",V541="Ya",W541="Ya"),1,"")))</x:f>
      </x:c>
      <x:c r="AA541" s="32"/>
      <x:c r="AB541" s="32"/>
      <x:c r="AC541" s="32"/>
      <x:c r="AD541" s="32"/>
      <x:c r="AE541" s="32"/>
      <x:c r="AF541" s="32"/>
      <x:c r="AG541" s="33" t="str">
        <x:f>IF(OR(AE541="",AF541=""),"",IF(AE541="Positif",IF(AF541="Positif","TP","FN"),IF(AF541="Positif","FP","TN")))</x:f>
      </x:c>
    </x:row>
    <x:row r="542">
      <x:c r="A542" s="32"/>
      <x:c r="B542" s="32"/>
      <x:c r="C542" s="32"/>
      <x:c r="D542" s="35"/>
      <x:c r="E542" s="32"/>
      <x:c r="F542" s="32"/>
      <x:c r="G542" s="32"/>
      <x:c r="H542" s="32"/>
      <x:c r="I542" s="32"/>
      <x:c r="J542" s="32"/>
      <x:c r="K542" s="32"/>
      <x:c r="L542" s="32"/>
      <x:c r="M542" s="32"/>
      <x:c r="N542" s="37"/>
      <x:c r="O542" s="32"/>
      <x:c r="P542" s="40"/>
      <x:c r="Q542" s="40"/>
      <x:c r="R542" s="41" t="str">
        <x:f>IF(OR(P542="",Q542=""),"",P542-Q542)</x:f>
      </x:c>
      <x:c r="S542" s="32"/>
      <x:c r="T542" s="32"/>
      <x:c r="U542" s="32"/>
      <x:c r="V542" s="32"/>
      <x:c r="W542" s="32"/>
      <x:c r="X542" s="32"/>
      <x:c r="Y542" s="43" t="str">
        <x:f>IF(OR(X542="",X542="Pending"),"",IF(X542="Rejected",0,IF(AND(U542="Ya",V542="Ya",W542="Ya"),1,"")))</x:f>
      </x:c>
      <x:c r="AA542" s="32"/>
      <x:c r="AB542" s="32"/>
      <x:c r="AC542" s="32"/>
      <x:c r="AD542" s="32"/>
      <x:c r="AE542" s="32"/>
      <x:c r="AF542" s="32"/>
      <x:c r="AG542" s="33" t="str">
        <x:f>IF(OR(AE542="",AF542=""),"",IF(AE542="Positif",IF(AF542="Positif","TP","FN"),IF(AF542="Positif","FP","TN")))</x:f>
      </x:c>
    </x:row>
    <x:row r="543">
      <x:c r="A543" s="32"/>
      <x:c r="B543" s="32"/>
      <x:c r="C543" s="32"/>
      <x:c r="D543" s="35"/>
      <x:c r="E543" s="32"/>
      <x:c r="F543" s="32"/>
      <x:c r="G543" s="32"/>
      <x:c r="H543" s="32"/>
      <x:c r="I543" s="32"/>
      <x:c r="J543" s="32"/>
      <x:c r="K543" s="32"/>
      <x:c r="L543" s="32"/>
      <x:c r="M543" s="32"/>
      <x:c r="N543" s="37"/>
      <x:c r="O543" s="32"/>
      <x:c r="P543" s="40"/>
      <x:c r="Q543" s="40"/>
      <x:c r="R543" s="41" t="str">
        <x:f>IF(OR(P543="",Q543=""),"",P543-Q543)</x:f>
      </x:c>
      <x:c r="S543" s="32"/>
      <x:c r="T543" s="32"/>
      <x:c r="U543" s="32"/>
      <x:c r="V543" s="32"/>
      <x:c r="W543" s="32"/>
      <x:c r="X543" s="32"/>
      <x:c r="Y543" s="43" t="str">
        <x:f>IF(OR(X543="",X543="Pending"),"",IF(X543="Rejected",0,IF(AND(U543="Ya",V543="Ya",W543="Ya"),1,"")))</x:f>
      </x:c>
      <x:c r="AA543" s="32"/>
      <x:c r="AB543" s="32"/>
      <x:c r="AC543" s="32"/>
      <x:c r="AD543" s="32"/>
      <x:c r="AE543" s="32"/>
      <x:c r="AF543" s="32"/>
      <x:c r="AG543" s="33" t="str">
        <x:f>IF(OR(AE543="",AF543=""),"",IF(AE543="Positif",IF(AF543="Positif","TP","FN"),IF(AF543="Positif","FP","TN")))</x:f>
      </x:c>
    </x:row>
    <x:row r="544">
      <x:c r="A544" s="32"/>
      <x:c r="B544" s="32"/>
      <x:c r="C544" s="32"/>
      <x:c r="D544" s="35"/>
      <x:c r="E544" s="32"/>
      <x:c r="F544" s="32"/>
      <x:c r="G544" s="32"/>
      <x:c r="H544" s="32"/>
      <x:c r="I544" s="32"/>
      <x:c r="J544" s="32"/>
      <x:c r="K544" s="32"/>
      <x:c r="L544" s="32"/>
      <x:c r="M544" s="32"/>
      <x:c r="N544" s="37"/>
      <x:c r="O544" s="32"/>
      <x:c r="P544" s="40"/>
      <x:c r="Q544" s="40"/>
      <x:c r="R544" s="41" t="str">
        <x:f>IF(OR(P544="",Q544=""),"",P544-Q544)</x:f>
      </x:c>
      <x:c r="S544" s="32"/>
      <x:c r="T544" s="32"/>
      <x:c r="U544" s="32"/>
      <x:c r="V544" s="32"/>
      <x:c r="W544" s="32"/>
      <x:c r="X544" s="32"/>
      <x:c r="Y544" s="43" t="str">
        <x:f>IF(OR(X544="",X544="Pending"),"",IF(X544="Rejected",0,IF(AND(U544="Ya",V544="Ya",W544="Ya"),1,"")))</x:f>
      </x:c>
      <x:c r="AA544" s="32"/>
      <x:c r="AB544" s="32"/>
      <x:c r="AC544" s="32"/>
      <x:c r="AD544" s="32"/>
      <x:c r="AE544" s="32"/>
      <x:c r="AF544" s="32"/>
      <x:c r="AG544" s="33" t="str">
        <x:f>IF(OR(AE544="",AF544=""),"",IF(AE544="Positif",IF(AF544="Positif","TP","FN"),IF(AF544="Positif","FP","TN")))</x:f>
      </x:c>
    </x:row>
    <x:row r="545">
      <x:c r="A545" s="32"/>
      <x:c r="B545" s="32"/>
      <x:c r="C545" s="32"/>
      <x:c r="D545" s="35"/>
      <x:c r="E545" s="32"/>
      <x:c r="F545" s="32"/>
      <x:c r="G545" s="32"/>
      <x:c r="H545" s="32"/>
      <x:c r="I545" s="32"/>
      <x:c r="J545" s="32"/>
      <x:c r="K545" s="32"/>
      <x:c r="L545" s="32"/>
      <x:c r="M545" s="32"/>
      <x:c r="N545" s="37"/>
      <x:c r="O545" s="32"/>
      <x:c r="P545" s="40"/>
      <x:c r="Q545" s="40"/>
      <x:c r="R545" s="41" t="str">
        <x:f>IF(OR(P545="",Q545=""),"",P545-Q545)</x:f>
      </x:c>
      <x:c r="S545" s="32"/>
      <x:c r="T545" s="32"/>
      <x:c r="U545" s="32"/>
      <x:c r="V545" s="32"/>
      <x:c r="W545" s="32"/>
      <x:c r="X545" s="32"/>
      <x:c r="Y545" s="43" t="str">
        <x:f>IF(OR(X545="",X545="Pending"),"",IF(X545="Rejected",0,IF(AND(U545="Ya",V545="Ya",W545="Ya"),1,"")))</x:f>
      </x:c>
      <x:c r="AA545" s="32"/>
      <x:c r="AB545" s="32"/>
      <x:c r="AC545" s="32"/>
      <x:c r="AD545" s="32"/>
      <x:c r="AE545" s="32"/>
      <x:c r="AF545" s="32"/>
      <x:c r="AG545" s="33" t="str">
        <x:f>IF(OR(AE545="",AF545=""),"",IF(AE545="Positif",IF(AF545="Positif","TP","FN"),IF(AF545="Positif","FP","TN")))</x:f>
      </x:c>
    </x:row>
    <x:row r="546">
      <x:c r="A546" s="32"/>
      <x:c r="B546" s="32"/>
      <x:c r="C546" s="32"/>
      <x:c r="D546" s="35"/>
      <x:c r="E546" s="32"/>
      <x:c r="F546" s="32"/>
      <x:c r="G546" s="32"/>
      <x:c r="H546" s="32"/>
      <x:c r="I546" s="32"/>
      <x:c r="J546" s="32"/>
      <x:c r="K546" s="32"/>
      <x:c r="L546" s="32"/>
      <x:c r="M546" s="32"/>
      <x:c r="N546" s="37"/>
      <x:c r="O546" s="32"/>
      <x:c r="P546" s="40"/>
      <x:c r="Q546" s="40"/>
      <x:c r="R546" s="41" t="str">
        <x:f>IF(OR(P546="",Q546=""),"",P546-Q546)</x:f>
      </x:c>
      <x:c r="S546" s="32"/>
      <x:c r="T546" s="32"/>
      <x:c r="U546" s="32"/>
      <x:c r="V546" s="32"/>
      <x:c r="W546" s="32"/>
      <x:c r="X546" s="32"/>
      <x:c r="Y546" s="43" t="str">
        <x:f>IF(OR(X546="",X546="Pending"),"",IF(X546="Rejected",0,IF(AND(U546="Ya",V546="Ya",W546="Ya"),1,"")))</x:f>
      </x:c>
      <x:c r="AA546" s="32"/>
      <x:c r="AB546" s="32"/>
      <x:c r="AC546" s="32"/>
      <x:c r="AD546" s="32"/>
      <x:c r="AE546" s="32"/>
      <x:c r="AF546" s="32"/>
      <x:c r="AG546" s="33" t="str">
        <x:f>IF(OR(AE546="",AF546=""),"",IF(AE546="Positif",IF(AF546="Positif","TP","FN"),IF(AF546="Positif","FP","TN")))</x:f>
      </x:c>
    </x:row>
    <x:row r="547">
      <x:c r="A547" s="32"/>
      <x:c r="B547" s="32"/>
      <x:c r="C547" s="32"/>
      <x:c r="D547" s="35"/>
      <x:c r="E547" s="32"/>
      <x:c r="F547" s="32"/>
      <x:c r="G547" s="32"/>
      <x:c r="H547" s="32"/>
      <x:c r="I547" s="32"/>
      <x:c r="J547" s="32"/>
      <x:c r="K547" s="32"/>
      <x:c r="L547" s="32"/>
      <x:c r="M547" s="32"/>
      <x:c r="N547" s="37"/>
      <x:c r="O547" s="32"/>
      <x:c r="P547" s="40"/>
      <x:c r="Q547" s="40"/>
      <x:c r="R547" s="41" t="str">
        <x:f>IF(OR(P547="",Q547=""),"",P547-Q547)</x:f>
      </x:c>
      <x:c r="S547" s="32"/>
      <x:c r="T547" s="32"/>
      <x:c r="U547" s="32"/>
      <x:c r="V547" s="32"/>
      <x:c r="W547" s="32"/>
      <x:c r="X547" s="32"/>
      <x:c r="Y547" s="43" t="str">
        <x:f>IF(OR(X547="",X547="Pending"),"",IF(X547="Rejected",0,IF(AND(U547="Ya",V547="Ya",W547="Ya"),1,"")))</x:f>
      </x:c>
      <x:c r="AA547" s="32"/>
      <x:c r="AB547" s="32"/>
      <x:c r="AC547" s="32"/>
      <x:c r="AD547" s="32"/>
      <x:c r="AE547" s="32"/>
      <x:c r="AF547" s="32"/>
      <x:c r="AG547" s="33" t="str">
        <x:f>IF(OR(AE547="",AF547=""),"",IF(AE547="Positif",IF(AF547="Positif","TP","FN"),IF(AF547="Positif","FP","TN")))</x:f>
      </x:c>
    </x:row>
    <x:row r="548">
      <x:c r="A548" s="32"/>
      <x:c r="B548" s="32"/>
      <x:c r="C548" s="32"/>
      <x:c r="D548" s="35"/>
      <x:c r="E548" s="32"/>
      <x:c r="F548" s="32"/>
      <x:c r="G548" s="32"/>
      <x:c r="H548" s="32"/>
      <x:c r="I548" s="32"/>
      <x:c r="J548" s="32"/>
      <x:c r="K548" s="32"/>
      <x:c r="L548" s="32"/>
      <x:c r="M548" s="32"/>
      <x:c r="N548" s="37"/>
      <x:c r="O548" s="32"/>
      <x:c r="P548" s="40"/>
      <x:c r="Q548" s="40"/>
      <x:c r="R548" s="41" t="str">
        <x:f>IF(OR(P548="",Q548=""),"",P548-Q548)</x:f>
      </x:c>
      <x:c r="S548" s="32"/>
      <x:c r="T548" s="32"/>
      <x:c r="U548" s="32"/>
      <x:c r="V548" s="32"/>
      <x:c r="W548" s="32"/>
      <x:c r="X548" s="32"/>
      <x:c r="Y548" s="43" t="str">
        <x:f>IF(OR(X548="",X548="Pending"),"",IF(X548="Rejected",0,IF(AND(U548="Ya",V548="Ya",W548="Ya"),1,"")))</x:f>
      </x:c>
      <x:c r="AA548" s="32"/>
      <x:c r="AB548" s="32"/>
      <x:c r="AC548" s="32"/>
      <x:c r="AD548" s="32"/>
      <x:c r="AE548" s="32"/>
      <x:c r="AF548" s="32"/>
      <x:c r="AG548" s="33" t="str">
        <x:f>IF(OR(AE548="",AF548=""),"",IF(AE548="Positif",IF(AF548="Positif","TP","FN"),IF(AF548="Positif","FP","TN")))</x:f>
      </x:c>
    </x:row>
    <x:row r="549">
      <x:c r="A549" s="32"/>
      <x:c r="B549" s="32"/>
      <x:c r="C549" s="32"/>
      <x:c r="D549" s="35"/>
      <x:c r="E549" s="32"/>
      <x:c r="F549" s="32"/>
      <x:c r="G549" s="32"/>
      <x:c r="H549" s="32"/>
      <x:c r="I549" s="32"/>
      <x:c r="J549" s="32"/>
      <x:c r="K549" s="32"/>
      <x:c r="L549" s="32"/>
      <x:c r="M549" s="32"/>
      <x:c r="N549" s="37"/>
      <x:c r="O549" s="32"/>
      <x:c r="P549" s="40"/>
      <x:c r="Q549" s="40"/>
      <x:c r="R549" s="41" t="str">
        <x:f>IF(OR(P549="",Q549=""),"",P549-Q549)</x:f>
      </x:c>
      <x:c r="S549" s="32"/>
      <x:c r="T549" s="32"/>
      <x:c r="U549" s="32"/>
      <x:c r="V549" s="32"/>
      <x:c r="W549" s="32"/>
      <x:c r="X549" s="32"/>
      <x:c r="Y549" s="43" t="str">
        <x:f>IF(OR(X549="",X549="Pending"),"",IF(X549="Rejected",0,IF(AND(U549="Ya",V549="Ya",W549="Ya"),1,"")))</x:f>
      </x:c>
      <x:c r="AA549" s="32"/>
      <x:c r="AB549" s="32"/>
      <x:c r="AC549" s="32"/>
      <x:c r="AD549" s="32"/>
      <x:c r="AE549" s="32"/>
      <x:c r="AF549" s="32"/>
      <x:c r="AG549" s="33" t="str">
        <x:f>IF(OR(AE549="",AF549=""),"",IF(AE549="Positif",IF(AF549="Positif","TP","FN"),IF(AF549="Positif","FP","TN")))</x:f>
      </x:c>
    </x:row>
    <x:row r="550">
      <x:c r="A550" s="32"/>
      <x:c r="B550" s="32"/>
      <x:c r="C550" s="32"/>
      <x:c r="D550" s="35"/>
      <x:c r="E550" s="32"/>
      <x:c r="F550" s="32"/>
      <x:c r="G550" s="32"/>
      <x:c r="H550" s="32"/>
      <x:c r="I550" s="32"/>
      <x:c r="J550" s="32"/>
      <x:c r="K550" s="32"/>
      <x:c r="L550" s="32"/>
      <x:c r="M550" s="32"/>
      <x:c r="N550" s="37"/>
      <x:c r="O550" s="32"/>
      <x:c r="P550" s="40"/>
      <x:c r="Q550" s="40"/>
      <x:c r="R550" s="41" t="str">
        <x:f>IF(OR(P550="",Q550=""),"",P550-Q550)</x:f>
      </x:c>
      <x:c r="S550" s="32"/>
      <x:c r="T550" s="32"/>
      <x:c r="U550" s="32"/>
      <x:c r="V550" s="32"/>
      <x:c r="W550" s="32"/>
      <x:c r="X550" s="32"/>
      <x:c r="Y550" s="43" t="str">
        <x:f>IF(OR(X550="",X550="Pending"),"",IF(X550="Rejected",0,IF(AND(U550="Ya",V550="Ya",W550="Ya"),1,"")))</x:f>
      </x:c>
      <x:c r="AA550" s="32"/>
      <x:c r="AB550" s="32"/>
      <x:c r="AC550" s="32"/>
      <x:c r="AD550" s="32"/>
      <x:c r="AE550" s="32"/>
      <x:c r="AF550" s="32"/>
      <x:c r="AG550" s="33" t="str">
        <x:f>IF(OR(AE550="",AF550=""),"",IF(AE550="Positif",IF(AF550="Positif","TP","FN"),IF(AF550="Positif","FP","TN")))</x:f>
      </x:c>
    </x:row>
    <x:row r="551">
      <x:c r="A551" s="32"/>
      <x:c r="B551" s="32"/>
      <x:c r="C551" s="32"/>
      <x:c r="D551" s="35"/>
      <x:c r="E551" s="32"/>
      <x:c r="F551" s="32"/>
      <x:c r="G551" s="32"/>
      <x:c r="H551" s="32"/>
      <x:c r="I551" s="32"/>
      <x:c r="J551" s="32"/>
      <x:c r="K551" s="32"/>
      <x:c r="L551" s="32"/>
      <x:c r="M551" s="32"/>
      <x:c r="N551" s="37"/>
      <x:c r="O551" s="32"/>
      <x:c r="P551" s="40"/>
      <x:c r="Q551" s="40"/>
      <x:c r="R551" s="41" t="str">
        <x:f>IF(OR(P551="",Q551=""),"",P551-Q551)</x:f>
      </x:c>
      <x:c r="S551" s="32"/>
      <x:c r="T551" s="32"/>
      <x:c r="U551" s="32"/>
      <x:c r="V551" s="32"/>
      <x:c r="W551" s="32"/>
      <x:c r="X551" s="32"/>
      <x:c r="Y551" s="43" t="str">
        <x:f>IF(OR(X551="",X551="Pending"),"",IF(X551="Rejected",0,IF(AND(U551="Ya",V551="Ya",W551="Ya"),1,"")))</x:f>
      </x:c>
      <x:c r="AA551" s="32"/>
      <x:c r="AB551" s="32"/>
      <x:c r="AC551" s="32"/>
      <x:c r="AD551" s="32"/>
      <x:c r="AE551" s="32"/>
      <x:c r="AF551" s="32"/>
      <x:c r="AG551" s="33" t="str">
        <x:f>IF(OR(AE551="",AF551=""),"",IF(AE551="Positif",IF(AF551="Positif","TP","FN"),IF(AF551="Positif","FP","TN")))</x:f>
      </x:c>
    </x:row>
    <x:row r="552">
      <x:c r="A552" s="32"/>
      <x:c r="B552" s="32"/>
      <x:c r="C552" s="32"/>
      <x:c r="D552" s="35"/>
      <x:c r="E552" s="32"/>
      <x:c r="F552" s="32"/>
      <x:c r="G552" s="32"/>
      <x:c r="H552" s="32"/>
      <x:c r="I552" s="32"/>
      <x:c r="J552" s="32"/>
      <x:c r="K552" s="32"/>
      <x:c r="L552" s="32"/>
      <x:c r="M552" s="32"/>
      <x:c r="N552" s="37"/>
      <x:c r="O552" s="32"/>
      <x:c r="P552" s="40"/>
      <x:c r="Q552" s="40"/>
      <x:c r="R552" s="41" t="str">
        <x:f>IF(OR(P552="",Q552=""),"",P552-Q552)</x:f>
      </x:c>
      <x:c r="S552" s="32"/>
      <x:c r="T552" s="32"/>
      <x:c r="U552" s="32"/>
      <x:c r="V552" s="32"/>
      <x:c r="W552" s="32"/>
      <x:c r="X552" s="32"/>
      <x:c r="Y552" s="43" t="str">
        <x:f>IF(OR(X552="",X552="Pending"),"",IF(X552="Rejected",0,IF(AND(U552="Ya",V552="Ya",W552="Ya"),1,"")))</x:f>
      </x:c>
      <x:c r="AA552" s="32"/>
      <x:c r="AB552" s="32"/>
      <x:c r="AC552" s="32"/>
      <x:c r="AD552" s="32"/>
      <x:c r="AE552" s="32"/>
      <x:c r="AF552" s="32"/>
      <x:c r="AG552" s="33" t="str">
        <x:f>IF(OR(AE552="",AF552=""),"",IF(AE552="Positif",IF(AF552="Positif","TP","FN"),IF(AF552="Positif","FP","TN")))</x:f>
      </x:c>
    </x:row>
    <x:row r="553">
      <x:c r="A553" s="32"/>
      <x:c r="B553" s="32"/>
      <x:c r="C553" s="32"/>
      <x:c r="D553" s="35"/>
      <x:c r="E553" s="32"/>
      <x:c r="F553" s="32"/>
      <x:c r="G553" s="32"/>
      <x:c r="H553" s="32"/>
      <x:c r="I553" s="32"/>
      <x:c r="J553" s="32"/>
      <x:c r="K553" s="32"/>
      <x:c r="L553" s="32"/>
      <x:c r="M553" s="32"/>
      <x:c r="N553" s="37"/>
      <x:c r="O553" s="32"/>
      <x:c r="P553" s="40"/>
      <x:c r="Q553" s="40"/>
      <x:c r="R553" s="41" t="str">
        <x:f>IF(OR(P553="",Q553=""),"",P553-Q553)</x:f>
      </x:c>
      <x:c r="S553" s="32"/>
      <x:c r="T553" s="32"/>
      <x:c r="U553" s="32"/>
      <x:c r="V553" s="32"/>
      <x:c r="W553" s="32"/>
      <x:c r="X553" s="32"/>
      <x:c r="Y553" s="43" t="str">
        <x:f>IF(OR(X553="",X553="Pending"),"",IF(X553="Rejected",0,IF(AND(U553="Ya",V553="Ya",W553="Ya"),1,"")))</x:f>
      </x:c>
      <x:c r="AA553" s="32"/>
      <x:c r="AB553" s="32"/>
      <x:c r="AC553" s="32"/>
      <x:c r="AD553" s="32"/>
      <x:c r="AE553" s="32"/>
      <x:c r="AF553" s="32"/>
      <x:c r="AG553" s="33" t="str">
        <x:f>IF(OR(AE553="",AF553=""),"",IF(AE553="Positif",IF(AF553="Positif","TP","FN"),IF(AF553="Positif","FP","TN")))</x:f>
      </x:c>
    </x:row>
    <x:row r="554">
      <x:c r="A554" s="32"/>
      <x:c r="B554" s="32"/>
      <x:c r="C554" s="32"/>
      <x:c r="D554" s="35"/>
      <x:c r="E554" s="32"/>
      <x:c r="F554" s="32"/>
      <x:c r="G554" s="32"/>
      <x:c r="H554" s="32"/>
      <x:c r="I554" s="32"/>
      <x:c r="J554" s="32"/>
      <x:c r="K554" s="32"/>
      <x:c r="L554" s="32"/>
      <x:c r="M554" s="32"/>
      <x:c r="N554" s="37"/>
      <x:c r="O554" s="32"/>
      <x:c r="P554" s="40"/>
      <x:c r="Q554" s="40"/>
      <x:c r="R554" s="41" t="str">
        <x:f>IF(OR(P554="",Q554=""),"",P554-Q554)</x:f>
      </x:c>
      <x:c r="S554" s="32"/>
      <x:c r="T554" s="32"/>
      <x:c r="U554" s="32"/>
      <x:c r="V554" s="32"/>
      <x:c r="W554" s="32"/>
      <x:c r="X554" s="32"/>
      <x:c r="Y554" s="43" t="str">
        <x:f>IF(OR(X554="",X554="Pending"),"",IF(X554="Rejected",0,IF(AND(U554="Ya",V554="Ya",W554="Ya"),1,"")))</x:f>
      </x:c>
      <x:c r="AA554" s="32"/>
      <x:c r="AB554" s="32"/>
      <x:c r="AC554" s="32"/>
      <x:c r="AD554" s="32"/>
      <x:c r="AE554" s="32"/>
      <x:c r="AF554" s="32"/>
      <x:c r="AG554" s="33" t="str">
        <x:f>IF(OR(AE554="",AF554=""),"",IF(AE554="Positif",IF(AF554="Positif","TP","FN"),IF(AF554="Positif","FP","TN")))</x:f>
      </x:c>
    </x:row>
    <x:row r="555">
      <x:c r="A555" s="32"/>
      <x:c r="B555" s="32"/>
      <x:c r="C555" s="32"/>
      <x:c r="D555" s="35"/>
      <x:c r="E555" s="32"/>
      <x:c r="F555" s="32"/>
      <x:c r="G555" s="32"/>
      <x:c r="H555" s="32"/>
      <x:c r="I555" s="32"/>
      <x:c r="J555" s="32"/>
      <x:c r="K555" s="32"/>
      <x:c r="L555" s="32"/>
      <x:c r="M555" s="32"/>
      <x:c r="N555" s="37"/>
      <x:c r="O555" s="32"/>
      <x:c r="P555" s="40"/>
      <x:c r="Q555" s="40"/>
      <x:c r="R555" s="41" t="str">
        <x:f>IF(OR(P555="",Q555=""),"",P555-Q555)</x:f>
      </x:c>
      <x:c r="S555" s="32"/>
      <x:c r="T555" s="32"/>
      <x:c r="U555" s="32"/>
      <x:c r="V555" s="32"/>
      <x:c r="W555" s="32"/>
      <x:c r="X555" s="32"/>
      <x:c r="Y555" s="43" t="str">
        <x:f>IF(OR(X555="",X555="Pending"),"",IF(X555="Rejected",0,IF(AND(U555="Ya",V555="Ya",W555="Ya"),1,"")))</x:f>
      </x:c>
      <x:c r="AA555" s="32"/>
      <x:c r="AB555" s="32"/>
      <x:c r="AC555" s="32"/>
      <x:c r="AD555" s="32"/>
      <x:c r="AE555" s="32"/>
      <x:c r="AF555" s="32"/>
      <x:c r="AG555" s="33" t="str">
        <x:f>IF(OR(AE555="",AF555=""),"",IF(AE555="Positif",IF(AF555="Positif","TP","FN"),IF(AF555="Positif","FP","TN")))</x:f>
      </x:c>
    </x:row>
    <x:row r="556">
      <x:c r="A556" s="32"/>
      <x:c r="B556" s="32"/>
      <x:c r="C556" s="32"/>
      <x:c r="D556" s="35"/>
      <x:c r="E556" s="32"/>
      <x:c r="F556" s="32"/>
      <x:c r="G556" s="32"/>
      <x:c r="H556" s="32"/>
      <x:c r="I556" s="32"/>
      <x:c r="J556" s="32"/>
      <x:c r="K556" s="32"/>
      <x:c r="L556" s="32"/>
      <x:c r="M556" s="32"/>
      <x:c r="N556" s="37"/>
      <x:c r="O556" s="32"/>
      <x:c r="P556" s="40"/>
      <x:c r="Q556" s="40"/>
      <x:c r="R556" s="41" t="str">
        <x:f>IF(OR(P556="",Q556=""),"",P556-Q556)</x:f>
      </x:c>
      <x:c r="S556" s="32"/>
      <x:c r="T556" s="32"/>
      <x:c r="U556" s="32"/>
      <x:c r="V556" s="32"/>
      <x:c r="W556" s="32"/>
      <x:c r="X556" s="32"/>
      <x:c r="Y556" s="43" t="str">
        <x:f>IF(OR(X556="",X556="Pending"),"",IF(X556="Rejected",0,IF(AND(U556="Ya",V556="Ya",W556="Ya"),1,"")))</x:f>
      </x:c>
      <x:c r="AA556" s="32"/>
      <x:c r="AB556" s="32"/>
      <x:c r="AC556" s="32"/>
      <x:c r="AD556" s="32"/>
      <x:c r="AE556" s="32"/>
      <x:c r="AF556" s="32"/>
      <x:c r="AG556" s="33" t="str">
        <x:f>IF(OR(AE556="",AF556=""),"",IF(AE556="Positif",IF(AF556="Positif","TP","FN"),IF(AF556="Positif","FP","TN")))</x:f>
      </x:c>
    </x:row>
    <x:row r="557">
      <x:c r="A557" s="32"/>
      <x:c r="B557" s="32"/>
      <x:c r="C557" s="32"/>
      <x:c r="D557" s="35"/>
      <x:c r="E557" s="32"/>
      <x:c r="F557" s="32"/>
      <x:c r="G557" s="32"/>
      <x:c r="H557" s="32"/>
      <x:c r="I557" s="32"/>
      <x:c r="J557" s="32"/>
      <x:c r="K557" s="32"/>
      <x:c r="L557" s="32"/>
      <x:c r="M557" s="32"/>
      <x:c r="N557" s="37"/>
      <x:c r="O557" s="32"/>
      <x:c r="P557" s="40"/>
      <x:c r="Q557" s="40"/>
      <x:c r="R557" s="41" t="str">
        <x:f>IF(OR(P557="",Q557=""),"",P557-Q557)</x:f>
      </x:c>
      <x:c r="S557" s="32"/>
      <x:c r="T557" s="32"/>
      <x:c r="U557" s="32"/>
      <x:c r="V557" s="32"/>
      <x:c r="W557" s="32"/>
      <x:c r="X557" s="32"/>
      <x:c r="Y557" s="43" t="str">
        <x:f>IF(OR(X557="",X557="Pending"),"",IF(X557="Rejected",0,IF(AND(U557="Ya",V557="Ya",W557="Ya"),1,"")))</x:f>
      </x:c>
      <x:c r="AA557" s="32"/>
      <x:c r="AB557" s="32"/>
      <x:c r="AC557" s="32"/>
      <x:c r="AD557" s="32"/>
      <x:c r="AE557" s="32"/>
      <x:c r="AF557" s="32"/>
      <x:c r="AG557" s="33" t="str">
        <x:f>IF(OR(AE557="",AF557=""),"",IF(AE557="Positif",IF(AF557="Positif","TP","FN"),IF(AF557="Positif","FP","TN")))</x:f>
      </x:c>
    </x:row>
    <x:row r="558">
      <x:c r="A558" s="32"/>
      <x:c r="B558" s="32"/>
      <x:c r="C558" s="32"/>
      <x:c r="D558" s="35"/>
      <x:c r="E558" s="32"/>
      <x:c r="F558" s="32"/>
      <x:c r="G558" s="32"/>
      <x:c r="H558" s="32"/>
      <x:c r="I558" s="32"/>
      <x:c r="J558" s="32"/>
      <x:c r="K558" s="32"/>
      <x:c r="L558" s="32"/>
      <x:c r="M558" s="32"/>
      <x:c r="N558" s="37"/>
      <x:c r="O558" s="32"/>
      <x:c r="P558" s="40"/>
      <x:c r="Q558" s="40"/>
      <x:c r="R558" s="41" t="str">
        <x:f>IF(OR(P558="",Q558=""),"",P558-Q558)</x:f>
      </x:c>
      <x:c r="S558" s="32"/>
      <x:c r="T558" s="32"/>
      <x:c r="U558" s="32"/>
      <x:c r="V558" s="32"/>
      <x:c r="W558" s="32"/>
      <x:c r="X558" s="32"/>
      <x:c r="Y558" s="43" t="str">
        <x:f>IF(OR(X558="",X558="Pending"),"",IF(X558="Rejected",0,IF(AND(U558="Ya",V558="Ya",W558="Ya"),1,"")))</x:f>
      </x:c>
      <x:c r="AA558" s="32"/>
      <x:c r="AB558" s="32"/>
      <x:c r="AC558" s="32"/>
      <x:c r="AD558" s="32"/>
      <x:c r="AE558" s="32"/>
      <x:c r="AF558" s="32"/>
      <x:c r="AG558" s="33" t="str">
        <x:f>IF(OR(AE558="",AF558=""),"",IF(AE558="Positif",IF(AF558="Positif","TP","FN"),IF(AF558="Positif","FP","TN")))</x:f>
      </x:c>
    </x:row>
    <x:row r="559">
      <x:c r="A559" s="32"/>
      <x:c r="B559" s="32"/>
      <x:c r="C559" s="32"/>
      <x:c r="D559" s="35"/>
      <x:c r="E559" s="32"/>
      <x:c r="F559" s="32"/>
      <x:c r="G559" s="32"/>
      <x:c r="H559" s="32"/>
      <x:c r="I559" s="32"/>
      <x:c r="J559" s="32"/>
      <x:c r="K559" s="32"/>
      <x:c r="L559" s="32"/>
      <x:c r="M559" s="32"/>
      <x:c r="N559" s="37"/>
      <x:c r="O559" s="32"/>
      <x:c r="P559" s="40"/>
      <x:c r="Q559" s="40"/>
      <x:c r="R559" s="41" t="str">
        <x:f>IF(OR(P559="",Q559=""),"",P559-Q559)</x:f>
      </x:c>
      <x:c r="S559" s="32"/>
      <x:c r="T559" s="32"/>
      <x:c r="U559" s="32"/>
      <x:c r="V559" s="32"/>
      <x:c r="W559" s="32"/>
      <x:c r="X559" s="32"/>
      <x:c r="Y559" s="43" t="str">
        <x:f>IF(OR(X559="",X559="Pending"),"",IF(X559="Rejected",0,IF(AND(U559="Ya",V559="Ya",W559="Ya"),1,"")))</x:f>
      </x:c>
      <x:c r="AA559" s="32"/>
      <x:c r="AB559" s="32"/>
      <x:c r="AC559" s="32"/>
      <x:c r="AD559" s="32"/>
      <x:c r="AE559" s="32"/>
      <x:c r="AF559" s="32"/>
      <x:c r="AG559" s="33" t="str">
        <x:f>IF(OR(AE559="",AF559=""),"",IF(AE559="Positif",IF(AF559="Positif","TP","FN"),IF(AF559="Positif","FP","TN")))</x:f>
      </x:c>
    </x:row>
    <x:row r="560">
      <x:c r="A560" s="32"/>
      <x:c r="B560" s="32"/>
      <x:c r="C560" s="32"/>
      <x:c r="D560" s="35"/>
      <x:c r="E560" s="32"/>
      <x:c r="F560" s="32"/>
      <x:c r="G560" s="32"/>
      <x:c r="H560" s="32"/>
      <x:c r="I560" s="32"/>
      <x:c r="J560" s="32"/>
      <x:c r="K560" s="32"/>
      <x:c r="L560" s="32"/>
      <x:c r="M560" s="32"/>
      <x:c r="N560" s="37"/>
      <x:c r="O560" s="32"/>
      <x:c r="P560" s="40"/>
      <x:c r="Q560" s="40"/>
      <x:c r="R560" s="41" t="str">
        <x:f>IF(OR(P560="",Q560=""),"",P560-Q560)</x:f>
      </x:c>
      <x:c r="S560" s="32"/>
      <x:c r="T560" s="32"/>
      <x:c r="U560" s="32"/>
      <x:c r="V560" s="32"/>
      <x:c r="W560" s="32"/>
      <x:c r="X560" s="32"/>
      <x:c r="Y560" s="43" t="str">
        <x:f>IF(OR(X560="",X560="Pending"),"",IF(X560="Rejected",0,IF(AND(U560="Ya",V560="Ya",W560="Ya"),1,"")))</x:f>
      </x:c>
      <x:c r="AA560" s="32"/>
      <x:c r="AB560" s="32"/>
      <x:c r="AC560" s="32"/>
      <x:c r="AD560" s="32"/>
      <x:c r="AE560" s="32"/>
      <x:c r="AF560" s="32"/>
      <x:c r="AG560" s="33" t="str">
        <x:f>IF(OR(AE560="",AF560=""),"",IF(AE560="Positif",IF(AF560="Positif","TP","FN"),IF(AF560="Positif","FP","TN")))</x:f>
      </x:c>
    </x:row>
    <x:row r="561">
      <x:c r="A561" s="32"/>
      <x:c r="B561" s="32"/>
      <x:c r="C561" s="32"/>
      <x:c r="D561" s="35"/>
      <x:c r="E561" s="32"/>
      <x:c r="F561" s="32"/>
      <x:c r="G561" s="32"/>
      <x:c r="H561" s="32"/>
      <x:c r="I561" s="32"/>
      <x:c r="J561" s="32"/>
      <x:c r="K561" s="32"/>
      <x:c r="L561" s="32"/>
      <x:c r="M561" s="32"/>
      <x:c r="N561" s="37"/>
      <x:c r="O561" s="32"/>
      <x:c r="P561" s="40"/>
      <x:c r="Q561" s="40"/>
      <x:c r="R561" s="41" t="str">
        <x:f>IF(OR(P561="",Q561=""),"",P561-Q561)</x:f>
      </x:c>
      <x:c r="S561" s="32"/>
      <x:c r="T561" s="32"/>
      <x:c r="U561" s="32"/>
      <x:c r="V561" s="32"/>
      <x:c r="W561" s="32"/>
      <x:c r="X561" s="32"/>
      <x:c r="Y561" s="43" t="str">
        <x:f>IF(OR(X561="",X561="Pending"),"",IF(X561="Rejected",0,IF(AND(U561="Ya",V561="Ya",W561="Ya"),1,"")))</x:f>
      </x:c>
      <x:c r="AA561" s="32"/>
      <x:c r="AB561" s="32"/>
      <x:c r="AC561" s="32"/>
      <x:c r="AD561" s="32"/>
      <x:c r="AE561" s="32"/>
      <x:c r="AF561" s="32"/>
      <x:c r="AG561" s="33" t="str">
        <x:f>IF(OR(AE561="",AF561=""),"",IF(AE561="Positif",IF(AF561="Positif","TP","FN"),IF(AF561="Positif","FP","TN")))</x:f>
      </x:c>
    </x:row>
    <x:row r="562">
      <x:c r="A562" s="32"/>
      <x:c r="B562" s="32"/>
      <x:c r="C562" s="32"/>
      <x:c r="D562" s="35"/>
      <x:c r="E562" s="32"/>
      <x:c r="F562" s="32"/>
      <x:c r="G562" s="32"/>
      <x:c r="H562" s="32"/>
      <x:c r="I562" s="32"/>
      <x:c r="J562" s="32"/>
      <x:c r="K562" s="32"/>
      <x:c r="L562" s="32"/>
      <x:c r="M562" s="32"/>
      <x:c r="N562" s="37"/>
      <x:c r="O562" s="32"/>
      <x:c r="P562" s="40"/>
      <x:c r="Q562" s="40"/>
      <x:c r="R562" s="41" t="str">
        <x:f>IF(OR(P562="",Q562=""),"",P562-Q562)</x:f>
      </x:c>
      <x:c r="S562" s="32"/>
      <x:c r="T562" s="32"/>
      <x:c r="U562" s="32"/>
      <x:c r="V562" s="32"/>
      <x:c r="W562" s="32"/>
      <x:c r="X562" s="32"/>
      <x:c r="Y562" s="43" t="str">
        <x:f>IF(OR(X562="",X562="Pending"),"",IF(X562="Rejected",0,IF(AND(U562="Ya",V562="Ya",W562="Ya"),1,"")))</x:f>
      </x:c>
      <x:c r="AA562" s="32"/>
      <x:c r="AB562" s="32"/>
      <x:c r="AC562" s="32"/>
      <x:c r="AD562" s="32"/>
      <x:c r="AE562" s="32"/>
      <x:c r="AF562" s="32"/>
      <x:c r="AG562" s="33" t="str">
        <x:f>IF(OR(AE562="",AF562=""),"",IF(AE562="Positif",IF(AF562="Positif","TP","FN"),IF(AF562="Positif","FP","TN")))</x:f>
      </x:c>
    </x:row>
    <x:row r="563">
      <x:c r="A563" s="32"/>
      <x:c r="B563" s="32"/>
      <x:c r="C563" s="32"/>
      <x:c r="D563" s="35"/>
      <x:c r="E563" s="32"/>
      <x:c r="F563" s="32"/>
      <x:c r="G563" s="32"/>
      <x:c r="H563" s="32"/>
      <x:c r="I563" s="32"/>
      <x:c r="J563" s="32"/>
      <x:c r="K563" s="32"/>
      <x:c r="L563" s="32"/>
      <x:c r="M563" s="32"/>
      <x:c r="N563" s="37"/>
      <x:c r="O563" s="32"/>
      <x:c r="P563" s="40"/>
      <x:c r="Q563" s="40"/>
      <x:c r="R563" s="41" t="str">
        <x:f>IF(OR(P563="",Q563=""),"",P563-Q563)</x:f>
      </x:c>
      <x:c r="S563" s="32"/>
      <x:c r="T563" s="32"/>
      <x:c r="U563" s="32"/>
      <x:c r="V563" s="32"/>
      <x:c r="W563" s="32"/>
      <x:c r="X563" s="32"/>
      <x:c r="Y563" s="43" t="str">
        <x:f>IF(OR(X563="",X563="Pending"),"",IF(X563="Rejected",0,IF(AND(U563="Ya",V563="Ya",W563="Ya"),1,"")))</x:f>
      </x:c>
      <x:c r="AA563" s="32"/>
      <x:c r="AB563" s="32"/>
      <x:c r="AC563" s="32"/>
      <x:c r="AD563" s="32"/>
      <x:c r="AE563" s="32"/>
      <x:c r="AF563" s="32"/>
      <x:c r="AG563" s="33" t="str">
        <x:f>IF(OR(AE563="",AF563=""),"",IF(AE563="Positif",IF(AF563="Positif","TP","FN"),IF(AF563="Positif","FP","TN")))</x:f>
      </x:c>
    </x:row>
    <x:row r="564">
      <x:c r="A564" s="32"/>
      <x:c r="B564" s="32"/>
      <x:c r="C564" s="32"/>
      <x:c r="D564" s="35"/>
      <x:c r="E564" s="32"/>
      <x:c r="F564" s="32"/>
      <x:c r="G564" s="32"/>
      <x:c r="H564" s="32"/>
      <x:c r="I564" s="32"/>
      <x:c r="J564" s="32"/>
      <x:c r="K564" s="32"/>
      <x:c r="L564" s="32"/>
      <x:c r="M564" s="32"/>
      <x:c r="N564" s="37"/>
      <x:c r="O564" s="32"/>
      <x:c r="P564" s="40"/>
      <x:c r="Q564" s="40"/>
      <x:c r="R564" s="41" t="str">
        <x:f>IF(OR(P564="",Q564=""),"",P564-Q564)</x:f>
      </x:c>
      <x:c r="S564" s="32"/>
      <x:c r="T564" s="32"/>
      <x:c r="U564" s="32"/>
      <x:c r="V564" s="32"/>
      <x:c r="W564" s="32"/>
      <x:c r="X564" s="32"/>
      <x:c r="Y564" s="43" t="str">
        <x:f>IF(OR(X564="",X564="Pending"),"",IF(X564="Rejected",0,IF(AND(U564="Ya",V564="Ya",W564="Ya"),1,"")))</x:f>
      </x:c>
      <x:c r="AA564" s="32"/>
      <x:c r="AB564" s="32"/>
      <x:c r="AC564" s="32"/>
      <x:c r="AD564" s="32"/>
      <x:c r="AE564" s="32"/>
      <x:c r="AF564" s="32"/>
      <x:c r="AG564" s="33" t="str">
        <x:f>IF(OR(AE564="",AF564=""),"",IF(AE564="Positif",IF(AF564="Positif","TP","FN"),IF(AF564="Positif","FP","TN")))</x:f>
      </x:c>
    </x:row>
    <x:row r="565">
      <x:c r="A565" s="32"/>
      <x:c r="B565" s="32"/>
      <x:c r="C565" s="32"/>
      <x:c r="D565" s="35"/>
      <x:c r="E565" s="32"/>
      <x:c r="F565" s="32"/>
      <x:c r="G565" s="32"/>
      <x:c r="H565" s="32"/>
      <x:c r="I565" s="32"/>
      <x:c r="J565" s="32"/>
      <x:c r="K565" s="32"/>
      <x:c r="L565" s="32"/>
      <x:c r="M565" s="32"/>
      <x:c r="N565" s="37"/>
      <x:c r="O565" s="32"/>
      <x:c r="P565" s="40"/>
      <x:c r="Q565" s="40"/>
      <x:c r="R565" s="41" t="str">
        <x:f>IF(OR(P565="",Q565=""),"",P565-Q565)</x:f>
      </x:c>
      <x:c r="S565" s="32"/>
      <x:c r="T565" s="32"/>
      <x:c r="U565" s="32"/>
      <x:c r="V565" s="32"/>
      <x:c r="W565" s="32"/>
      <x:c r="X565" s="32"/>
      <x:c r="Y565" s="43" t="str">
        <x:f>IF(OR(X565="",X565="Pending"),"",IF(X565="Rejected",0,IF(AND(U565="Ya",V565="Ya",W565="Ya"),1,"")))</x:f>
      </x:c>
      <x:c r="AA565" s="32"/>
      <x:c r="AB565" s="32"/>
      <x:c r="AC565" s="32"/>
      <x:c r="AD565" s="32"/>
      <x:c r="AE565" s="32"/>
      <x:c r="AF565" s="32"/>
      <x:c r="AG565" s="33" t="str">
        <x:f>IF(OR(AE565="",AF565=""),"",IF(AE565="Positif",IF(AF565="Positif","TP","FN"),IF(AF565="Positif","FP","TN")))</x:f>
      </x:c>
    </x:row>
    <x:row r="566">
      <x:c r="A566" s="32"/>
      <x:c r="B566" s="32"/>
      <x:c r="C566" s="32"/>
      <x:c r="D566" s="35"/>
      <x:c r="E566" s="32"/>
      <x:c r="F566" s="32"/>
      <x:c r="G566" s="32"/>
      <x:c r="H566" s="32"/>
      <x:c r="I566" s="32"/>
      <x:c r="J566" s="32"/>
      <x:c r="K566" s="32"/>
      <x:c r="L566" s="32"/>
      <x:c r="M566" s="32"/>
      <x:c r="N566" s="37"/>
      <x:c r="O566" s="32"/>
      <x:c r="P566" s="40"/>
      <x:c r="Q566" s="40"/>
      <x:c r="R566" s="41" t="str">
        <x:f>IF(OR(P566="",Q566=""),"",P566-Q566)</x:f>
      </x:c>
      <x:c r="S566" s="32"/>
      <x:c r="T566" s="32"/>
      <x:c r="U566" s="32"/>
      <x:c r="V566" s="32"/>
      <x:c r="W566" s="32"/>
      <x:c r="X566" s="32"/>
      <x:c r="Y566" s="43" t="str">
        <x:f>IF(OR(X566="",X566="Pending"),"",IF(X566="Rejected",0,IF(AND(U566="Ya",V566="Ya",W566="Ya"),1,"")))</x:f>
      </x:c>
      <x:c r="AA566" s="32"/>
      <x:c r="AB566" s="32"/>
      <x:c r="AC566" s="32"/>
      <x:c r="AD566" s="32"/>
      <x:c r="AE566" s="32"/>
      <x:c r="AF566" s="32"/>
      <x:c r="AG566" s="33" t="str">
        <x:f>IF(OR(AE566="",AF566=""),"",IF(AE566="Positif",IF(AF566="Positif","TP","FN"),IF(AF566="Positif","FP","TN")))</x:f>
      </x:c>
    </x:row>
    <x:row r="567">
      <x:c r="A567" s="32"/>
      <x:c r="B567" s="32"/>
      <x:c r="C567" s="32"/>
      <x:c r="D567" s="35"/>
      <x:c r="E567" s="32"/>
      <x:c r="F567" s="32"/>
      <x:c r="G567" s="32"/>
      <x:c r="H567" s="32"/>
      <x:c r="I567" s="32"/>
      <x:c r="J567" s="32"/>
      <x:c r="K567" s="32"/>
      <x:c r="L567" s="32"/>
      <x:c r="M567" s="32"/>
      <x:c r="N567" s="37"/>
      <x:c r="O567" s="32"/>
      <x:c r="P567" s="40"/>
      <x:c r="Q567" s="40"/>
      <x:c r="R567" s="41" t="str">
        <x:f>IF(OR(P567="",Q567=""),"",P567-Q567)</x:f>
      </x:c>
      <x:c r="S567" s="32"/>
      <x:c r="T567" s="32"/>
      <x:c r="U567" s="32"/>
      <x:c r="V567" s="32"/>
      <x:c r="W567" s="32"/>
      <x:c r="X567" s="32"/>
      <x:c r="Y567" s="43" t="str">
        <x:f>IF(OR(X567="",X567="Pending"),"",IF(X567="Rejected",0,IF(AND(U567="Ya",V567="Ya",W567="Ya"),1,"")))</x:f>
      </x:c>
      <x:c r="AA567" s="32"/>
      <x:c r="AB567" s="32"/>
      <x:c r="AC567" s="32"/>
      <x:c r="AD567" s="32"/>
      <x:c r="AE567" s="32"/>
      <x:c r="AF567" s="32"/>
      <x:c r="AG567" s="33" t="str">
        <x:f>IF(OR(AE567="",AF567=""),"",IF(AE567="Positif",IF(AF567="Positif","TP","FN"),IF(AF567="Positif","FP","TN")))</x:f>
      </x:c>
    </x:row>
    <x:row r="568">
      <x:c r="A568" s="32"/>
      <x:c r="B568" s="32"/>
      <x:c r="C568" s="32"/>
      <x:c r="D568" s="35"/>
      <x:c r="E568" s="32"/>
      <x:c r="F568" s="32"/>
      <x:c r="G568" s="32"/>
      <x:c r="H568" s="32"/>
      <x:c r="I568" s="32"/>
      <x:c r="J568" s="32"/>
      <x:c r="K568" s="32"/>
      <x:c r="L568" s="32"/>
      <x:c r="M568" s="32"/>
      <x:c r="N568" s="37"/>
      <x:c r="O568" s="32"/>
      <x:c r="P568" s="40"/>
      <x:c r="Q568" s="40"/>
      <x:c r="R568" s="41" t="str">
        <x:f>IF(OR(P568="",Q568=""),"",P568-Q568)</x:f>
      </x:c>
      <x:c r="S568" s="32"/>
      <x:c r="T568" s="32"/>
      <x:c r="U568" s="32"/>
      <x:c r="V568" s="32"/>
      <x:c r="W568" s="32"/>
      <x:c r="X568" s="32"/>
      <x:c r="Y568" s="43" t="str">
        <x:f>IF(OR(X568="",X568="Pending"),"",IF(X568="Rejected",0,IF(AND(U568="Ya",V568="Ya",W568="Ya"),1,"")))</x:f>
      </x:c>
      <x:c r="AA568" s="32"/>
      <x:c r="AB568" s="32"/>
      <x:c r="AC568" s="32"/>
      <x:c r="AD568" s="32"/>
      <x:c r="AE568" s="32"/>
      <x:c r="AF568" s="32"/>
      <x:c r="AG568" s="33" t="str">
        <x:f>IF(OR(AE568="",AF568=""),"",IF(AE568="Positif",IF(AF568="Positif","TP","FN"),IF(AF568="Positif","FP","TN")))</x:f>
      </x:c>
    </x:row>
    <x:row r="569">
      <x:c r="A569" s="32"/>
      <x:c r="B569" s="32"/>
      <x:c r="C569" s="32"/>
      <x:c r="D569" s="35"/>
      <x:c r="E569" s="32"/>
      <x:c r="F569" s="32"/>
      <x:c r="G569" s="32"/>
      <x:c r="H569" s="32"/>
      <x:c r="I569" s="32"/>
      <x:c r="J569" s="32"/>
      <x:c r="K569" s="32"/>
      <x:c r="L569" s="32"/>
      <x:c r="M569" s="32"/>
      <x:c r="N569" s="37"/>
      <x:c r="O569" s="32"/>
      <x:c r="P569" s="40"/>
      <x:c r="Q569" s="40"/>
      <x:c r="R569" s="41" t="str">
        <x:f>IF(OR(P569="",Q569=""),"",P569-Q569)</x:f>
      </x:c>
      <x:c r="S569" s="32"/>
      <x:c r="T569" s="32"/>
      <x:c r="U569" s="32"/>
      <x:c r="V569" s="32"/>
      <x:c r="W569" s="32"/>
      <x:c r="X569" s="32"/>
      <x:c r="Y569" s="43" t="str">
        <x:f>IF(OR(X569="",X569="Pending"),"",IF(X569="Rejected",0,IF(AND(U569="Ya",V569="Ya",W569="Ya"),1,"")))</x:f>
      </x:c>
      <x:c r="AA569" s="32"/>
      <x:c r="AB569" s="32"/>
      <x:c r="AC569" s="32"/>
      <x:c r="AD569" s="32"/>
      <x:c r="AE569" s="32"/>
      <x:c r="AF569" s="32"/>
      <x:c r="AG569" s="33" t="str">
        <x:f>IF(OR(AE569="",AF569=""),"",IF(AE569="Positif",IF(AF569="Positif","TP","FN"),IF(AF569="Positif","FP","TN")))</x:f>
      </x:c>
    </x:row>
    <x:row r="570">
      <x:c r="A570" s="32"/>
      <x:c r="B570" s="32"/>
      <x:c r="C570" s="32"/>
      <x:c r="D570" s="35"/>
      <x:c r="E570" s="32"/>
      <x:c r="F570" s="32"/>
      <x:c r="G570" s="32"/>
      <x:c r="H570" s="32"/>
      <x:c r="I570" s="32"/>
      <x:c r="J570" s="32"/>
      <x:c r="K570" s="32"/>
      <x:c r="L570" s="32"/>
      <x:c r="M570" s="32"/>
      <x:c r="N570" s="37"/>
      <x:c r="O570" s="32"/>
      <x:c r="P570" s="40"/>
      <x:c r="Q570" s="40"/>
      <x:c r="R570" s="41" t="str">
        <x:f>IF(OR(P570="",Q570=""),"",P570-Q570)</x:f>
      </x:c>
      <x:c r="S570" s="32"/>
      <x:c r="T570" s="32"/>
      <x:c r="U570" s="32"/>
      <x:c r="V570" s="32"/>
      <x:c r="W570" s="32"/>
      <x:c r="X570" s="32"/>
      <x:c r="Y570" s="43" t="str">
        <x:f>IF(OR(X570="",X570="Pending"),"",IF(X570="Rejected",0,IF(AND(U570="Ya",V570="Ya",W570="Ya"),1,"")))</x:f>
      </x:c>
      <x:c r="AA570" s="32"/>
      <x:c r="AB570" s="32"/>
      <x:c r="AC570" s="32"/>
      <x:c r="AD570" s="32"/>
      <x:c r="AE570" s="32"/>
      <x:c r="AF570" s="32"/>
      <x:c r="AG570" s="33" t="str">
        <x:f>IF(OR(AE570="",AF570=""),"",IF(AE570="Positif",IF(AF570="Positif","TP","FN"),IF(AF570="Positif","FP","TN")))</x:f>
      </x:c>
    </x:row>
    <x:row r="571">
      <x:c r="A571" s="32"/>
      <x:c r="B571" s="32"/>
      <x:c r="C571" s="32"/>
      <x:c r="D571" s="35"/>
      <x:c r="E571" s="32"/>
      <x:c r="F571" s="32"/>
      <x:c r="G571" s="32"/>
      <x:c r="H571" s="32"/>
      <x:c r="I571" s="32"/>
      <x:c r="J571" s="32"/>
      <x:c r="K571" s="32"/>
      <x:c r="L571" s="32"/>
      <x:c r="M571" s="32"/>
      <x:c r="N571" s="37"/>
      <x:c r="O571" s="32"/>
      <x:c r="P571" s="40"/>
      <x:c r="Q571" s="40"/>
      <x:c r="R571" s="41" t="str">
        <x:f>IF(OR(P571="",Q571=""),"",P571-Q571)</x:f>
      </x:c>
      <x:c r="S571" s="32"/>
      <x:c r="T571" s="32"/>
      <x:c r="U571" s="32"/>
      <x:c r="V571" s="32"/>
      <x:c r="W571" s="32"/>
      <x:c r="X571" s="32"/>
      <x:c r="Y571" s="43" t="str">
        <x:f>IF(OR(X571="",X571="Pending"),"",IF(X571="Rejected",0,IF(AND(U571="Ya",V571="Ya",W571="Ya"),1,"")))</x:f>
      </x:c>
      <x:c r="AA571" s="32"/>
      <x:c r="AB571" s="32"/>
      <x:c r="AC571" s="32"/>
      <x:c r="AD571" s="32"/>
      <x:c r="AE571" s="32"/>
      <x:c r="AF571" s="32"/>
      <x:c r="AG571" s="33" t="str">
        <x:f>IF(OR(AE571="",AF571=""),"",IF(AE571="Positif",IF(AF571="Positif","TP","FN"),IF(AF571="Positif","FP","TN")))</x:f>
      </x:c>
    </x:row>
    <x:row r="572">
      <x:c r="A572" s="32"/>
      <x:c r="B572" s="32"/>
      <x:c r="C572" s="32"/>
      <x:c r="D572" s="35"/>
      <x:c r="E572" s="32"/>
      <x:c r="F572" s="32"/>
      <x:c r="G572" s="32"/>
      <x:c r="H572" s="32"/>
      <x:c r="I572" s="32"/>
      <x:c r="J572" s="32"/>
      <x:c r="K572" s="32"/>
      <x:c r="L572" s="32"/>
      <x:c r="M572" s="32"/>
      <x:c r="N572" s="37"/>
      <x:c r="O572" s="32"/>
      <x:c r="P572" s="40"/>
      <x:c r="Q572" s="40"/>
      <x:c r="R572" s="41" t="str">
        <x:f>IF(OR(P572="",Q572=""),"",P572-Q572)</x:f>
      </x:c>
      <x:c r="S572" s="32"/>
      <x:c r="T572" s="32"/>
      <x:c r="U572" s="32"/>
      <x:c r="V572" s="32"/>
      <x:c r="W572" s="32"/>
      <x:c r="X572" s="32"/>
      <x:c r="Y572" s="43" t="str">
        <x:f>IF(OR(X572="",X572="Pending"),"",IF(X572="Rejected",0,IF(AND(U572="Ya",V572="Ya",W572="Ya"),1,"")))</x:f>
      </x:c>
      <x:c r="AA572" s="32"/>
      <x:c r="AB572" s="32"/>
      <x:c r="AC572" s="32"/>
      <x:c r="AD572" s="32"/>
      <x:c r="AE572" s="32"/>
      <x:c r="AF572" s="32"/>
      <x:c r="AG572" s="33" t="str">
        <x:f>IF(OR(AE572="",AF572=""),"",IF(AE572="Positif",IF(AF572="Positif","TP","FN"),IF(AF572="Positif","FP","TN")))</x:f>
      </x:c>
    </x:row>
    <x:row r="573">
      <x:c r="A573" s="32"/>
      <x:c r="B573" s="32"/>
      <x:c r="C573" s="32"/>
      <x:c r="D573" s="35"/>
      <x:c r="E573" s="32"/>
      <x:c r="F573" s="32"/>
      <x:c r="G573" s="32"/>
      <x:c r="H573" s="32"/>
      <x:c r="I573" s="32"/>
      <x:c r="J573" s="32"/>
      <x:c r="K573" s="32"/>
      <x:c r="L573" s="32"/>
      <x:c r="M573" s="32"/>
      <x:c r="N573" s="37"/>
      <x:c r="O573" s="32"/>
      <x:c r="P573" s="40"/>
      <x:c r="Q573" s="40"/>
      <x:c r="R573" s="41" t="str">
        <x:f>IF(OR(P573="",Q573=""),"",P573-Q573)</x:f>
      </x:c>
      <x:c r="S573" s="32"/>
      <x:c r="T573" s="32"/>
      <x:c r="U573" s="32"/>
      <x:c r="V573" s="32"/>
      <x:c r="W573" s="32"/>
      <x:c r="X573" s="32"/>
      <x:c r="Y573" s="43" t="str">
        <x:f>IF(OR(X573="",X573="Pending"),"",IF(X573="Rejected",0,IF(AND(U573="Ya",V573="Ya",W573="Ya"),1,"")))</x:f>
      </x:c>
      <x:c r="AA573" s="32"/>
      <x:c r="AB573" s="32"/>
      <x:c r="AC573" s="32"/>
      <x:c r="AD573" s="32"/>
      <x:c r="AE573" s="32"/>
      <x:c r="AF573" s="32"/>
      <x:c r="AG573" s="33" t="str">
        <x:f>IF(OR(AE573="",AF573=""),"",IF(AE573="Positif",IF(AF573="Positif","TP","FN"),IF(AF573="Positif","FP","TN")))</x:f>
      </x:c>
    </x:row>
    <x:row r="574">
      <x:c r="A574" s="32"/>
      <x:c r="B574" s="32"/>
      <x:c r="C574" s="32"/>
      <x:c r="D574" s="35"/>
      <x:c r="E574" s="32"/>
      <x:c r="F574" s="32"/>
      <x:c r="G574" s="32"/>
      <x:c r="H574" s="32"/>
      <x:c r="I574" s="32"/>
      <x:c r="J574" s="32"/>
      <x:c r="K574" s="32"/>
      <x:c r="L574" s="32"/>
      <x:c r="M574" s="32"/>
      <x:c r="N574" s="37"/>
      <x:c r="O574" s="32"/>
      <x:c r="P574" s="40"/>
      <x:c r="Q574" s="40"/>
      <x:c r="R574" s="41" t="str">
        <x:f>IF(OR(P574="",Q574=""),"",P574-Q574)</x:f>
      </x:c>
      <x:c r="S574" s="32"/>
      <x:c r="T574" s="32"/>
      <x:c r="U574" s="32"/>
      <x:c r="V574" s="32"/>
      <x:c r="W574" s="32"/>
      <x:c r="X574" s="32"/>
      <x:c r="Y574" s="43" t="str">
        <x:f>IF(OR(X574="",X574="Pending"),"",IF(X574="Rejected",0,IF(AND(U574="Ya",V574="Ya",W574="Ya"),1,"")))</x:f>
      </x:c>
      <x:c r="AA574" s="32"/>
      <x:c r="AB574" s="32"/>
      <x:c r="AC574" s="32"/>
      <x:c r="AD574" s="32"/>
      <x:c r="AE574" s="32"/>
      <x:c r="AF574" s="32"/>
      <x:c r="AG574" s="33" t="str">
        <x:f>IF(OR(AE574="",AF574=""),"",IF(AE574="Positif",IF(AF574="Positif","TP","FN"),IF(AF574="Positif","FP","TN")))</x:f>
      </x:c>
    </x:row>
    <x:row r="575">
      <x:c r="A575" s="32"/>
      <x:c r="B575" s="32"/>
      <x:c r="C575" s="32"/>
      <x:c r="D575" s="35"/>
      <x:c r="E575" s="32"/>
      <x:c r="F575" s="32"/>
      <x:c r="G575" s="32"/>
      <x:c r="H575" s="32"/>
      <x:c r="I575" s="32"/>
      <x:c r="J575" s="32"/>
      <x:c r="K575" s="32"/>
      <x:c r="L575" s="32"/>
      <x:c r="M575" s="32"/>
      <x:c r="N575" s="37"/>
      <x:c r="O575" s="32"/>
      <x:c r="P575" s="40"/>
      <x:c r="Q575" s="40"/>
      <x:c r="R575" s="41" t="str">
        <x:f>IF(OR(P575="",Q575=""),"",P575-Q575)</x:f>
      </x:c>
      <x:c r="S575" s="32"/>
      <x:c r="T575" s="32"/>
      <x:c r="U575" s="32"/>
      <x:c r="V575" s="32"/>
      <x:c r="W575" s="32"/>
      <x:c r="X575" s="32"/>
      <x:c r="Y575" s="43" t="str">
        <x:f>IF(OR(X575="",X575="Pending"),"",IF(X575="Rejected",0,IF(AND(U575="Ya",V575="Ya",W575="Ya"),1,"")))</x:f>
      </x:c>
      <x:c r="AA575" s="32"/>
      <x:c r="AB575" s="32"/>
      <x:c r="AC575" s="32"/>
      <x:c r="AD575" s="32"/>
      <x:c r="AE575" s="32"/>
      <x:c r="AF575" s="32"/>
      <x:c r="AG575" s="33" t="str">
        <x:f>IF(OR(AE575="",AF575=""),"",IF(AE575="Positif",IF(AF575="Positif","TP","FN"),IF(AF575="Positif","FP","TN")))</x:f>
      </x:c>
    </x:row>
    <x:row r="576">
      <x:c r="A576" s="32"/>
      <x:c r="B576" s="32"/>
      <x:c r="C576" s="32"/>
      <x:c r="D576" s="35"/>
      <x:c r="E576" s="32"/>
      <x:c r="F576" s="32"/>
      <x:c r="G576" s="32"/>
      <x:c r="H576" s="32"/>
      <x:c r="I576" s="32"/>
      <x:c r="J576" s="32"/>
      <x:c r="K576" s="32"/>
      <x:c r="L576" s="32"/>
      <x:c r="M576" s="32"/>
      <x:c r="N576" s="37"/>
      <x:c r="O576" s="32"/>
      <x:c r="P576" s="40"/>
      <x:c r="Q576" s="40"/>
      <x:c r="R576" s="41" t="str">
        <x:f>IF(OR(P576="",Q576=""),"",P576-Q576)</x:f>
      </x:c>
      <x:c r="S576" s="32"/>
      <x:c r="T576" s="32"/>
      <x:c r="U576" s="32"/>
      <x:c r="V576" s="32"/>
      <x:c r="W576" s="32"/>
      <x:c r="X576" s="32"/>
      <x:c r="Y576" s="43" t="str">
        <x:f>IF(OR(X576="",X576="Pending"),"",IF(X576="Rejected",0,IF(AND(U576="Ya",V576="Ya",W576="Ya"),1,"")))</x:f>
      </x:c>
      <x:c r="AA576" s="32"/>
      <x:c r="AB576" s="32"/>
      <x:c r="AC576" s="32"/>
      <x:c r="AD576" s="32"/>
      <x:c r="AE576" s="32"/>
      <x:c r="AF576" s="32"/>
      <x:c r="AG576" s="33" t="str">
        <x:f>IF(OR(AE576="",AF576=""),"",IF(AE576="Positif",IF(AF576="Positif","TP","FN"),IF(AF576="Positif","FP","TN")))</x:f>
      </x:c>
    </x:row>
    <x:row r="577">
      <x:c r="A577" s="32"/>
      <x:c r="B577" s="32"/>
      <x:c r="C577" s="32"/>
      <x:c r="D577" s="35"/>
      <x:c r="E577" s="32"/>
      <x:c r="F577" s="32"/>
      <x:c r="G577" s="32"/>
      <x:c r="H577" s="32"/>
      <x:c r="I577" s="32"/>
      <x:c r="J577" s="32"/>
      <x:c r="K577" s="32"/>
      <x:c r="L577" s="32"/>
      <x:c r="M577" s="32"/>
      <x:c r="N577" s="37"/>
      <x:c r="O577" s="32"/>
      <x:c r="P577" s="40"/>
      <x:c r="Q577" s="40"/>
      <x:c r="R577" s="41" t="str">
        <x:f>IF(OR(P577="",Q577=""),"",P577-Q577)</x:f>
      </x:c>
      <x:c r="S577" s="32"/>
      <x:c r="T577" s="32"/>
      <x:c r="U577" s="32"/>
      <x:c r="V577" s="32"/>
      <x:c r="W577" s="32"/>
      <x:c r="X577" s="32"/>
      <x:c r="Y577" s="43" t="str">
        <x:f>IF(OR(X577="",X577="Pending"),"",IF(X577="Rejected",0,IF(AND(U577="Ya",V577="Ya",W577="Ya"),1,"")))</x:f>
      </x:c>
      <x:c r="AA577" s="32"/>
      <x:c r="AB577" s="32"/>
      <x:c r="AC577" s="32"/>
      <x:c r="AD577" s="32"/>
      <x:c r="AE577" s="32"/>
      <x:c r="AF577" s="32"/>
      <x:c r="AG577" s="33" t="str">
        <x:f>IF(OR(AE577="",AF577=""),"",IF(AE577="Positif",IF(AF577="Positif","TP","FN"),IF(AF577="Positif","FP","TN")))</x:f>
      </x:c>
    </x:row>
    <x:row r="578">
      <x:c r="A578" s="32"/>
      <x:c r="B578" s="32"/>
      <x:c r="C578" s="32"/>
      <x:c r="D578" s="35"/>
      <x:c r="E578" s="32"/>
      <x:c r="F578" s="32"/>
      <x:c r="G578" s="32"/>
      <x:c r="H578" s="32"/>
      <x:c r="I578" s="32"/>
      <x:c r="J578" s="32"/>
      <x:c r="K578" s="32"/>
      <x:c r="L578" s="32"/>
      <x:c r="M578" s="32"/>
      <x:c r="N578" s="37"/>
      <x:c r="O578" s="32"/>
      <x:c r="P578" s="40"/>
      <x:c r="Q578" s="40"/>
      <x:c r="R578" s="41" t="str">
        <x:f>IF(OR(P578="",Q578=""),"",P578-Q578)</x:f>
      </x:c>
      <x:c r="S578" s="32"/>
      <x:c r="T578" s="32"/>
      <x:c r="U578" s="32"/>
      <x:c r="V578" s="32"/>
      <x:c r="W578" s="32"/>
      <x:c r="X578" s="32"/>
      <x:c r="Y578" s="43" t="str">
        <x:f>IF(OR(X578="",X578="Pending"),"",IF(X578="Rejected",0,IF(AND(U578="Ya",V578="Ya",W578="Ya"),1,"")))</x:f>
      </x:c>
      <x:c r="AA578" s="32"/>
      <x:c r="AB578" s="32"/>
      <x:c r="AC578" s="32"/>
      <x:c r="AD578" s="32"/>
      <x:c r="AE578" s="32"/>
      <x:c r="AF578" s="32"/>
      <x:c r="AG578" s="33" t="str">
        <x:f>IF(OR(AE578="",AF578=""),"",IF(AE578="Positif",IF(AF578="Positif","TP","FN"),IF(AF578="Positif","FP","TN")))</x:f>
      </x:c>
    </x:row>
    <x:row r="579">
      <x:c r="A579" s="32"/>
      <x:c r="B579" s="32"/>
      <x:c r="C579" s="32"/>
      <x:c r="D579" s="35"/>
      <x:c r="E579" s="32"/>
      <x:c r="F579" s="32"/>
      <x:c r="G579" s="32"/>
      <x:c r="H579" s="32"/>
      <x:c r="I579" s="32"/>
      <x:c r="J579" s="32"/>
      <x:c r="K579" s="32"/>
      <x:c r="L579" s="32"/>
      <x:c r="M579" s="32"/>
      <x:c r="N579" s="37"/>
      <x:c r="O579" s="32"/>
      <x:c r="P579" s="40"/>
      <x:c r="Q579" s="40"/>
      <x:c r="R579" s="41" t="str">
        <x:f>IF(OR(P579="",Q579=""),"",P579-Q579)</x:f>
      </x:c>
      <x:c r="S579" s="32"/>
      <x:c r="T579" s="32"/>
      <x:c r="U579" s="32"/>
      <x:c r="V579" s="32"/>
      <x:c r="W579" s="32"/>
      <x:c r="X579" s="32"/>
      <x:c r="Y579" s="43" t="str">
        <x:f>IF(OR(X579="",X579="Pending"),"",IF(X579="Rejected",0,IF(AND(U579="Ya",V579="Ya",W579="Ya"),1,"")))</x:f>
      </x:c>
      <x:c r="AA579" s="32"/>
      <x:c r="AB579" s="32"/>
      <x:c r="AC579" s="32"/>
      <x:c r="AD579" s="32"/>
      <x:c r="AE579" s="32"/>
      <x:c r="AF579" s="32"/>
      <x:c r="AG579" s="33" t="str">
        <x:f>IF(OR(AE579="",AF579=""),"",IF(AE579="Positif",IF(AF579="Positif","TP","FN"),IF(AF579="Positif","FP","TN")))</x:f>
      </x:c>
    </x:row>
    <x:row r="580">
      <x:c r="A580" s="32"/>
      <x:c r="B580" s="32"/>
      <x:c r="C580" s="32"/>
      <x:c r="D580" s="35"/>
      <x:c r="E580" s="32"/>
      <x:c r="F580" s="32"/>
      <x:c r="G580" s="32"/>
      <x:c r="H580" s="32"/>
      <x:c r="I580" s="32"/>
      <x:c r="J580" s="32"/>
      <x:c r="K580" s="32"/>
      <x:c r="L580" s="32"/>
      <x:c r="M580" s="32"/>
      <x:c r="N580" s="37"/>
      <x:c r="O580" s="32"/>
      <x:c r="P580" s="40"/>
      <x:c r="Q580" s="40"/>
      <x:c r="R580" s="41" t="str">
        <x:f>IF(OR(P580="",Q580=""),"",P580-Q580)</x:f>
      </x:c>
      <x:c r="S580" s="32"/>
      <x:c r="T580" s="32"/>
      <x:c r="U580" s="32"/>
      <x:c r="V580" s="32"/>
      <x:c r="W580" s="32"/>
      <x:c r="X580" s="32"/>
      <x:c r="Y580" s="43" t="str">
        <x:f>IF(OR(X580="",X580="Pending"),"",IF(X580="Rejected",0,IF(AND(U580="Ya",V580="Ya",W580="Ya"),1,"")))</x:f>
      </x:c>
      <x:c r="AA580" s="32"/>
      <x:c r="AB580" s="32"/>
      <x:c r="AC580" s="32"/>
      <x:c r="AD580" s="32"/>
      <x:c r="AE580" s="32"/>
      <x:c r="AF580" s="32"/>
      <x:c r="AG580" s="33" t="str">
        <x:f>IF(OR(AE580="",AF580=""),"",IF(AE580="Positif",IF(AF580="Positif","TP","FN"),IF(AF580="Positif","FP","TN")))</x:f>
      </x:c>
    </x:row>
    <x:row r="581">
      <x:c r="A581" s="32"/>
      <x:c r="B581" s="32"/>
      <x:c r="C581" s="32"/>
      <x:c r="D581" s="35"/>
      <x:c r="E581" s="32"/>
      <x:c r="F581" s="32"/>
      <x:c r="G581" s="32"/>
      <x:c r="H581" s="32"/>
      <x:c r="I581" s="32"/>
      <x:c r="J581" s="32"/>
      <x:c r="K581" s="32"/>
      <x:c r="L581" s="32"/>
      <x:c r="M581" s="32"/>
      <x:c r="N581" s="37"/>
      <x:c r="O581" s="32"/>
      <x:c r="P581" s="40"/>
      <x:c r="Q581" s="40"/>
      <x:c r="R581" s="41" t="str">
        <x:f>IF(OR(P581="",Q581=""),"",P581-Q581)</x:f>
      </x:c>
      <x:c r="S581" s="32"/>
      <x:c r="T581" s="32"/>
      <x:c r="U581" s="32"/>
      <x:c r="V581" s="32"/>
      <x:c r="W581" s="32"/>
      <x:c r="X581" s="32"/>
      <x:c r="Y581" s="43" t="str">
        <x:f>IF(OR(X581="",X581="Pending"),"",IF(X581="Rejected",0,IF(AND(U581="Ya",V581="Ya",W581="Ya"),1,"")))</x:f>
      </x:c>
      <x:c r="AA581" s="32"/>
      <x:c r="AB581" s="32"/>
      <x:c r="AC581" s="32"/>
      <x:c r="AD581" s="32"/>
      <x:c r="AE581" s="32"/>
      <x:c r="AF581" s="32"/>
      <x:c r="AG581" s="33" t="str">
        <x:f>IF(OR(AE581="",AF581=""),"",IF(AE581="Positif",IF(AF581="Positif","TP","FN"),IF(AF581="Positif","FP","TN")))</x:f>
      </x:c>
    </x:row>
    <x:row r="582">
      <x:c r="A582" s="32"/>
      <x:c r="B582" s="32"/>
      <x:c r="C582" s="32"/>
      <x:c r="D582" s="35"/>
      <x:c r="E582" s="32"/>
      <x:c r="F582" s="32"/>
      <x:c r="G582" s="32"/>
      <x:c r="H582" s="32"/>
      <x:c r="I582" s="32"/>
      <x:c r="J582" s="32"/>
      <x:c r="K582" s="32"/>
      <x:c r="L582" s="32"/>
      <x:c r="M582" s="32"/>
      <x:c r="N582" s="37"/>
      <x:c r="O582" s="32"/>
      <x:c r="P582" s="40"/>
      <x:c r="Q582" s="40"/>
      <x:c r="R582" s="41" t="str">
        <x:f>IF(OR(P582="",Q582=""),"",P582-Q582)</x:f>
      </x:c>
      <x:c r="S582" s="32"/>
      <x:c r="T582" s="32"/>
      <x:c r="U582" s="32"/>
      <x:c r="V582" s="32"/>
      <x:c r="W582" s="32"/>
      <x:c r="X582" s="32"/>
      <x:c r="Y582" s="43" t="str">
        <x:f>IF(OR(X582="",X582="Pending"),"",IF(X582="Rejected",0,IF(AND(U582="Ya",V582="Ya",W582="Ya"),1,"")))</x:f>
      </x:c>
      <x:c r="AA582" s="32"/>
      <x:c r="AB582" s="32"/>
      <x:c r="AC582" s="32"/>
      <x:c r="AD582" s="32"/>
      <x:c r="AE582" s="32"/>
      <x:c r="AF582" s="32"/>
      <x:c r="AG582" s="33" t="str">
        <x:f>IF(OR(AE582="",AF582=""),"",IF(AE582="Positif",IF(AF582="Positif","TP","FN"),IF(AF582="Positif","FP","TN")))</x:f>
      </x:c>
    </x:row>
    <x:row r="583">
      <x:c r="A583" s="32"/>
      <x:c r="B583" s="32"/>
      <x:c r="C583" s="32"/>
      <x:c r="D583" s="35"/>
      <x:c r="E583" s="32"/>
      <x:c r="F583" s="32"/>
      <x:c r="G583" s="32"/>
      <x:c r="H583" s="32"/>
      <x:c r="I583" s="32"/>
      <x:c r="J583" s="32"/>
      <x:c r="K583" s="32"/>
      <x:c r="L583" s="32"/>
      <x:c r="M583" s="32"/>
      <x:c r="N583" s="37"/>
      <x:c r="O583" s="32"/>
      <x:c r="P583" s="40"/>
      <x:c r="Q583" s="40"/>
      <x:c r="R583" s="41" t="str">
        <x:f>IF(OR(P583="",Q583=""),"",P583-Q583)</x:f>
      </x:c>
      <x:c r="S583" s="32"/>
      <x:c r="T583" s="32"/>
      <x:c r="U583" s="32"/>
      <x:c r="V583" s="32"/>
      <x:c r="W583" s="32"/>
      <x:c r="X583" s="32"/>
      <x:c r="Y583" s="43" t="str">
        <x:f>IF(OR(X583="",X583="Pending"),"",IF(X583="Rejected",0,IF(AND(U583="Ya",V583="Ya",W583="Ya"),1,"")))</x:f>
      </x:c>
      <x:c r="AA583" s="32"/>
      <x:c r="AB583" s="32"/>
      <x:c r="AC583" s="32"/>
      <x:c r="AD583" s="32"/>
      <x:c r="AE583" s="32"/>
      <x:c r="AF583" s="32"/>
      <x:c r="AG583" s="33" t="str">
        <x:f>IF(OR(AE583="",AF583=""),"",IF(AE583="Positif",IF(AF583="Positif","TP","FN"),IF(AF583="Positif","FP","TN")))</x:f>
      </x:c>
    </x:row>
    <x:row r="584">
      <x:c r="A584" s="32"/>
      <x:c r="B584" s="32"/>
      <x:c r="C584" s="32"/>
      <x:c r="D584" s="35"/>
      <x:c r="E584" s="32"/>
      <x:c r="F584" s="32"/>
      <x:c r="G584" s="32"/>
      <x:c r="H584" s="32"/>
      <x:c r="I584" s="32"/>
      <x:c r="J584" s="32"/>
      <x:c r="K584" s="32"/>
      <x:c r="L584" s="32"/>
      <x:c r="M584" s="32"/>
      <x:c r="N584" s="37"/>
      <x:c r="O584" s="32"/>
      <x:c r="P584" s="40"/>
      <x:c r="Q584" s="40"/>
      <x:c r="R584" s="41" t="str">
        <x:f>IF(OR(P584="",Q584=""),"",P584-Q584)</x:f>
      </x:c>
      <x:c r="S584" s="32"/>
      <x:c r="T584" s="32"/>
      <x:c r="U584" s="32"/>
      <x:c r="V584" s="32"/>
      <x:c r="W584" s="32"/>
      <x:c r="X584" s="32"/>
      <x:c r="Y584" s="43" t="str">
        <x:f>IF(OR(X584="",X584="Pending"),"",IF(X584="Rejected",0,IF(AND(U584="Ya",V584="Ya",W584="Ya"),1,"")))</x:f>
      </x:c>
      <x:c r="AA584" s="32"/>
      <x:c r="AB584" s="32"/>
      <x:c r="AC584" s="32"/>
      <x:c r="AD584" s="32"/>
      <x:c r="AE584" s="32"/>
      <x:c r="AF584" s="32"/>
      <x:c r="AG584" s="33" t="str">
        <x:f>IF(OR(AE584="",AF584=""),"",IF(AE584="Positif",IF(AF584="Positif","TP","FN"),IF(AF584="Positif","FP","TN")))</x:f>
      </x:c>
    </x:row>
    <x:row r="585">
      <x:c r="A585" s="32"/>
      <x:c r="B585" s="32"/>
      <x:c r="C585" s="32"/>
      <x:c r="D585" s="35"/>
      <x:c r="E585" s="32"/>
      <x:c r="F585" s="32"/>
      <x:c r="G585" s="32"/>
      <x:c r="H585" s="32"/>
      <x:c r="I585" s="32"/>
      <x:c r="J585" s="32"/>
      <x:c r="K585" s="32"/>
      <x:c r="L585" s="32"/>
      <x:c r="M585" s="32"/>
      <x:c r="N585" s="37"/>
      <x:c r="O585" s="32"/>
      <x:c r="P585" s="40"/>
      <x:c r="Q585" s="40"/>
      <x:c r="R585" s="41" t="str">
        <x:f>IF(OR(P585="",Q585=""),"",P585-Q585)</x:f>
      </x:c>
      <x:c r="S585" s="32"/>
      <x:c r="T585" s="32"/>
      <x:c r="U585" s="32"/>
      <x:c r="V585" s="32"/>
      <x:c r="W585" s="32"/>
      <x:c r="X585" s="32"/>
      <x:c r="Y585" s="43" t="str">
        <x:f>IF(OR(X585="",X585="Pending"),"",IF(X585="Rejected",0,IF(AND(U585="Ya",V585="Ya",W585="Ya"),1,"")))</x:f>
      </x:c>
      <x:c r="AA585" s="32"/>
      <x:c r="AB585" s="32"/>
      <x:c r="AC585" s="32"/>
      <x:c r="AD585" s="32"/>
      <x:c r="AE585" s="32"/>
      <x:c r="AF585" s="32"/>
      <x:c r="AG585" s="33" t="str">
        <x:f>IF(OR(AE585="",AF585=""),"",IF(AE585="Positif",IF(AF585="Positif","TP","FN"),IF(AF585="Positif","FP","TN")))</x:f>
      </x:c>
    </x:row>
    <x:row r="586">
      <x:c r="A586" s="32"/>
      <x:c r="B586" s="32"/>
      <x:c r="C586" s="32"/>
      <x:c r="D586" s="35"/>
      <x:c r="E586" s="32"/>
      <x:c r="F586" s="32"/>
      <x:c r="G586" s="32"/>
      <x:c r="H586" s="32"/>
      <x:c r="I586" s="32"/>
      <x:c r="J586" s="32"/>
      <x:c r="K586" s="32"/>
      <x:c r="L586" s="32"/>
      <x:c r="M586" s="32"/>
      <x:c r="N586" s="37"/>
      <x:c r="O586" s="32"/>
      <x:c r="P586" s="40"/>
      <x:c r="Q586" s="40"/>
      <x:c r="R586" s="41" t="str">
        <x:f>IF(OR(P586="",Q586=""),"",P586-Q586)</x:f>
      </x:c>
      <x:c r="S586" s="32"/>
      <x:c r="T586" s="32"/>
      <x:c r="U586" s="32"/>
      <x:c r="V586" s="32"/>
      <x:c r="W586" s="32"/>
      <x:c r="X586" s="32"/>
      <x:c r="Y586" s="43" t="str">
        <x:f>IF(OR(X586="",X586="Pending"),"",IF(X586="Rejected",0,IF(AND(U586="Ya",V586="Ya",W586="Ya"),1,"")))</x:f>
      </x:c>
      <x:c r="AA586" s="32"/>
      <x:c r="AB586" s="32"/>
      <x:c r="AC586" s="32"/>
      <x:c r="AD586" s="32"/>
      <x:c r="AE586" s="32"/>
      <x:c r="AF586" s="32"/>
      <x:c r="AG586" s="33" t="str">
        <x:f>IF(OR(AE586="",AF586=""),"",IF(AE586="Positif",IF(AF586="Positif","TP","FN"),IF(AF586="Positif","FP","TN")))</x:f>
      </x:c>
    </x:row>
    <x:row r="587">
      <x:c r="A587" s="32"/>
      <x:c r="B587" s="32"/>
      <x:c r="C587" s="32"/>
      <x:c r="D587" s="35"/>
      <x:c r="E587" s="32"/>
      <x:c r="F587" s="32"/>
      <x:c r="G587" s="32"/>
      <x:c r="H587" s="32"/>
      <x:c r="I587" s="32"/>
      <x:c r="J587" s="32"/>
      <x:c r="K587" s="32"/>
      <x:c r="L587" s="32"/>
      <x:c r="M587" s="32"/>
      <x:c r="N587" s="37"/>
      <x:c r="O587" s="32"/>
      <x:c r="P587" s="40"/>
      <x:c r="Q587" s="40"/>
      <x:c r="R587" s="41" t="str">
        <x:f>IF(OR(P587="",Q587=""),"",P587-Q587)</x:f>
      </x:c>
      <x:c r="S587" s="32"/>
      <x:c r="T587" s="32"/>
      <x:c r="U587" s="32"/>
      <x:c r="V587" s="32"/>
      <x:c r="W587" s="32"/>
      <x:c r="X587" s="32"/>
      <x:c r="Y587" s="43" t="str">
        <x:f>IF(OR(X587="",X587="Pending"),"",IF(X587="Rejected",0,IF(AND(U587="Ya",V587="Ya",W587="Ya"),1,"")))</x:f>
      </x:c>
      <x:c r="AA587" s="32"/>
      <x:c r="AB587" s="32"/>
      <x:c r="AC587" s="32"/>
      <x:c r="AD587" s="32"/>
      <x:c r="AE587" s="32"/>
      <x:c r="AF587" s="32"/>
      <x:c r="AG587" s="33" t="str">
        <x:f>IF(OR(AE587="",AF587=""),"",IF(AE587="Positif",IF(AF587="Positif","TP","FN"),IF(AF587="Positif","FP","TN")))</x:f>
      </x:c>
    </x:row>
    <x:row r="588">
      <x:c r="A588" s="32"/>
      <x:c r="B588" s="32"/>
      <x:c r="C588" s="32"/>
      <x:c r="D588" s="35"/>
      <x:c r="E588" s="32"/>
      <x:c r="F588" s="32"/>
      <x:c r="G588" s="32"/>
      <x:c r="H588" s="32"/>
      <x:c r="I588" s="32"/>
      <x:c r="J588" s="32"/>
      <x:c r="K588" s="32"/>
      <x:c r="L588" s="32"/>
      <x:c r="M588" s="32"/>
      <x:c r="N588" s="37"/>
      <x:c r="O588" s="32"/>
      <x:c r="P588" s="40"/>
      <x:c r="Q588" s="40"/>
      <x:c r="R588" s="41" t="str">
        <x:f>IF(OR(P588="",Q588=""),"",P588-Q588)</x:f>
      </x:c>
      <x:c r="S588" s="32"/>
      <x:c r="T588" s="32"/>
      <x:c r="U588" s="32"/>
      <x:c r="V588" s="32"/>
      <x:c r="W588" s="32"/>
      <x:c r="X588" s="32"/>
      <x:c r="Y588" s="43" t="str">
        <x:f>IF(OR(X588="",X588="Pending"),"",IF(X588="Rejected",0,IF(AND(U588="Ya",V588="Ya",W588="Ya"),1,"")))</x:f>
      </x:c>
      <x:c r="AA588" s="32"/>
      <x:c r="AB588" s="32"/>
      <x:c r="AC588" s="32"/>
      <x:c r="AD588" s="32"/>
      <x:c r="AE588" s="32"/>
      <x:c r="AF588" s="32"/>
      <x:c r="AG588" s="33" t="str">
        <x:f>IF(OR(AE588="",AF588=""),"",IF(AE588="Positif",IF(AF588="Positif","TP","FN"),IF(AF588="Positif","FP","TN")))</x:f>
      </x:c>
    </x:row>
    <x:row r="589">
      <x:c r="A589" s="32"/>
      <x:c r="B589" s="32"/>
      <x:c r="C589" s="32"/>
      <x:c r="D589" s="35"/>
      <x:c r="E589" s="32"/>
      <x:c r="F589" s="32"/>
      <x:c r="G589" s="32"/>
      <x:c r="H589" s="32"/>
      <x:c r="I589" s="32"/>
      <x:c r="J589" s="32"/>
      <x:c r="K589" s="32"/>
      <x:c r="L589" s="32"/>
      <x:c r="M589" s="32"/>
      <x:c r="N589" s="37"/>
      <x:c r="O589" s="32"/>
      <x:c r="P589" s="40"/>
      <x:c r="Q589" s="40"/>
      <x:c r="R589" s="41" t="str">
        <x:f>IF(OR(P589="",Q589=""),"",P589-Q589)</x:f>
      </x:c>
      <x:c r="S589" s="32"/>
      <x:c r="T589" s="32"/>
      <x:c r="U589" s="32"/>
      <x:c r="V589" s="32"/>
      <x:c r="W589" s="32"/>
      <x:c r="X589" s="32"/>
      <x:c r="Y589" s="43" t="str">
        <x:f>IF(OR(X589="",X589="Pending"),"",IF(X589="Rejected",0,IF(AND(U589="Ya",V589="Ya",W589="Ya"),1,"")))</x:f>
      </x:c>
      <x:c r="AA589" s="32"/>
      <x:c r="AB589" s="32"/>
      <x:c r="AC589" s="32"/>
      <x:c r="AD589" s="32"/>
      <x:c r="AE589" s="32"/>
      <x:c r="AF589" s="32"/>
      <x:c r="AG589" s="33" t="str">
        <x:f>IF(OR(AE589="",AF589=""),"",IF(AE589="Positif",IF(AF589="Positif","TP","FN"),IF(AF589="Positif","FP","TN")))</x:f>
      </x:c>
    </x:row>
    <x:row r="590">
      <x:c r="A590" s="32"/>
      <x:c r="B590" s="32"/>
      <x:c r="C590" s="32"/>
      <x:c r="D590" s="35"/>
      <x:c r="E590" s="32"/>
      <x:c r="F590" s="32"/>
      <x:c r="G590" s="32"/>
      <x:c r="H590" s="32"/>
      <x:c r="I590" s="32"/>
      <x:c r="J590" s="32"/>
      <x:c r="K590" s="32"/>
      <x:c r="L590" s="32"/>
      <x:c r="M590" s="32"/>
      <x:c r="N590" s="37"/>
      <x:c r="O590" s="32"/>
      <x:c r="P590" s="40"/>
      <x:c r="Q590" s="40"/>
      <x:c r="R590" s="41" t="str">
        <x:f>IF(OR(P590="",Q590=""),"",P590-Q590)</x:f>
      </x:c>
      <x:c r="S590" s="32"/>
      <x:c r="T590" s="32"/>
      <x:c r="U590" s="32"/>
      <x:c r="V590" s="32"/>
      <x:c r="W590" s="32"/>
      <x:c r="X590" s="32"/>
      <x:c r="Y590" s="43" t="str">
        <x:f>IF(OR(X590="",X590="Pending"),"",IF(X590="Rejected",0,IF(AND(U590="Ya",V590="Ya",W590="Ya"),1,"")))</x:f>
      </x:c>
      <x:c r="AA590" s="32"/>
      <x:c r="AB590" s="32"/>
      <x:c r="AC590" s="32"/>
      <x:c r="AD590" s="32"/>
      <x:c r="AE590" s="32"/>
      <x:c r="AF590" s="32"/>
      <x:c r="AG590" s="33" t="str">
        <x:f>IF(OR(AE590="",AF590=""),"",IF(AE590="Positif",IF(AF590="Positif","TP","FN"),IF(AF590="Positif","FP","TN")))</x:f>
      </x:c>
    </x:row>
    <x:row r="591">
      <x:c r="A591" s="32"/>
      <x:c r="B591" s="32"/>
      <x:c r="C591" s="32"/>
      <x:c r="D591" s="35"/>
      <x:c r="E591" s="32"/>
      <x:c r="F591" s="32"/>
      <x:c r="G591" s="32"/>
      <x:c r="H591" s="32"/>
      <x:c r="I591" s="32"/>
      <x:c r="J591" s="32"/>
      <x:c r="K591" s="32"/>
      <x:c r="L591" s="32"/>
      <x:c r="M591" s="32"/>
      <x:c r="N591" s="37"/>
      <x:c r="O591" s="32"/>
      <x:c r="P591" s="40"/>
      <x:c r="Q591" s="40"/>
      <x:c r="R591" s="41" t="str">
        <x:f>IF(OR(P591="",Q591=""),"",P591-Q591)</x:f>
      </x:c>
      <x:c r="S591" s="32"/>
      <x:c r="T591" s="32"/>
      <x:c r="U591" s="32"/>
      <x:c r="V591" s="32"/>
      <x:c r="W591" s="32"/>
      <x:c r="X591" s="32"/>
      <x:c r="Y591" s="43" t="str">
        <x:f>IF(OR(X591="",X591="Pending"),"",IF(X591="Rejected",0,IF(AND(U591="Ya",V591="Ya",W591="Ya"),1,"")))</x:f>
      </x:c>
      <x:c r="AA591" s="32"/>
      <x:c r="AB591" s="32"/>
      <x:c r="AC591" s="32"/>
      <x:c r="AD591" s="32"/>
      <x:c r="AE591" s="32"/>
      <x:c r="AF591" s="32"/>
      <x:c r="AG591" s="33" t="str">
        <x:f>IF(OR(AE591="",AF591=""),"",IF(AE591="Positif",IF(AF591="Positif","TP","FN"),IF(AF591="Positif","FP","TN")))</x:f>
      </x:c>
    </x:row>
    <x:row r="592">
      <x:c r="A592" s="32"/>
      <x:c r="B592" s="32"/>
      <x:c r="C592" s="32"/>
      <x:c r="D592" s="35"/>
      <x:c r="E592" s="32"/>
      <x:c r="F592" s="32"/>
      <x:c r="G592" s="32"/>
      <x:c r="H592" s="32"/>
      <x:c r="I592" s="32"/>
      <x:c r="J592" s="32"/>
      <x:c r="K592" s="32"/>
      <x:c r="L592" s="32"/>
      <x:c r="M592" s="32"/>
      <x:c r="N592" s="37"/>
      <x:c r="O592" s="32"/>
      <x:c r="P592" s="40"/>
      <x:c r="Q592" s="40"/>
      <x:c r="R592" s="41" t="str">
        <x:f>IF(OR(P592="",Q592=""),"",P592-Q592)</x:f>
      </x:c>
      <x:c r="S592" s="32"/>
      <x:c r="T592" s="32"/>
      <x:c r="U592" s="32"/>
      <x:c r="V592" s="32"/>
      <x:c r="W592" s="32"/>
      <x:c r="X592" s="32"/>
      <x:c r="Y592" s="43" t="str">
        <x:f>IF(OR(X592="",X592="Pending"),"",IF(X592="Rejected",0,IF(AND(U592="Ya",V592="Ya",W592="Ya"),1,"")))</x:f>
      </x:c>
      <x:c r="AA592" s="32"/>
      <x:c r="AB592" s="32"/>
      <x:c r="AC592" s="32"/>
      <x:c r="AD592" s="32"/>
      <x:c r="AE592" s="32"/>
      <x:c r="AF592" s="32"/>
      <x:c r="AG592" s="33" t="str">
        <x:f>IF(OR(AE592="",AF592=""),"",IF(AE592="Positif",IF(AF592="Positif","TP","FN"),IF(AF592="Positif","FP","TN")))</x:f>
      </x:c>
    </x:row>
    <x:row r="593">
      <x:c r="A593" s="32"/>
      <x:c r="B593" s="32"/>
      <x:c r="C593" s="32"/>
      <x:c r="D593" s="35"/>
      <x:c r="E593" s="32"/>
      <x:c r="F593" s="32"/>
      <x:c r="G593" s="32"/>
      <x:c r="H593" s="32"/>
      <x:c r="I593" s="32"/>
      <x:c r="J593" s="32"/>
      <x:c r="K593" s="32"/>
      <x:c r="L593" s="32"/>
      <x:c r="M593" s="32"/>
      <x:c r="N593" s="37"/>
      <x:c r="O593" s="32"/>
      <x:c r="P593" s="40"/>
      <x:c r="Q593" s="40"/>
      <x:c r="R593" s="41" t="str">
        <x:f>IF(OR(P593="",Q593=""),"",P593-Q593)</x:f>
      </x:c>
      <x:c r="S593" s="32"/>
      <x:c r="T593" s="32"/>
      <x:c r="U593" s="32"/>
      <x:c r="V593" s="32"/>
      <x:c r="W593" s="32"/>
      <x:c r="X593" s="32"/>
      <x:c r="Y593" s="43" t="str">
        <x:f>IF(OR(X593="",X593="Pending"),"",IF(X593="Rejected",0,IF(AND(U593="Ya",V593="Ya",W593="Ya"),1,"")))</x:f>
      </x:c>
      <x:c r="AA593" s="32"/>
      <x:c r="AB593" s="32"/>
      <x:c r="AC593" s="32"/>
      <x:c r="AD593" s="32"/>
      <x:c r="AE593" s="32"/>
      <x:c r="AF593" s="32"/>
      <x:c r="AG593" s="33" t="str">
        <x:f>IF(OR(AE593="",AF593=""),"",IF(AE593="Positif",IF(AF593="Positif","TP","FN"),IF(AF593="Positif","FP","TN")))</x:f>
      </x:c>
    </x:row>
    <x:row r="594">
      <x:c r="A594" s="32"/>
      <x:c r="B594" s="32"/>
      <x:c r="C594" s="32"/>
      <x:c r="D594" s="35"/>
      <x:c r="E594" s="32"/>
      <x:c r="F594" s="32"/>
      <x:c r="G594" s="32"/>
      <x:c r="H594" s="32"/>
      <x:c r="I594" s="32"/>
      <x:c r="J594" s="32"/>
      <x:c r="K594" s="32"/>
      <x:c r="L594" s="32"/>
      <x:c r="M594" s="32"/>
      <x:c r="N594" s="37"/>
      <x:c r="O594" s="32"/>
      <x:c r="P594" s="40"/>
      <x:c r="Q594" s="40"/>
      <x:c r="R594" s="41" t="str">
        <x:f>IF(OR(P594="",Q594=""),"",P594-Q594)</x:f>
      </x:c>
      <x:c r="S594" s="32"/>
      <x:c r="T594" s="32"/>
      <x:c r="U594" s="32"/>
      <x:c r="V594" s="32"/>
      <x:c r="W594" s="32"/>
      <x:c r="X594" s="32"/>
      <x:c r="Y594" s="43" t="str">
        <x:f>IF(OR(X594="",X594="Pending"),"",IF(X594="Rejected",0,IF(AND(U594="Ya",V594="Ya",W594="Ya"),1,"")))</x:f>
      </x:c>
      <x:c r="AA594" s="32"/>
      <x:c r="AB594" s="32"/>
      <x:c r="AC594" s="32"/>
      <x:c r="AD594" s="32"/>
      <x:c r="AE594" s="32"/>
      <x:c r="AF594" s="32"/>
      <x:c r="AG594" s="33" t="str">
        <x:f>IF(OR(AE594="",AF594=""),"",IF(AE594="Positif",IF(AF594="Positif","TP","FN"),IF(AF594="Positif","FP","TN")))</x:f>
      </x:c>
    </x:row>
    <x:row r="595">
      <x:c r="A595" s="32"/>
      <x:c r="B595" s="32"/>
      <x:c r="C595" s="32"/>
      <x:c r="D595" s="35"/>
      <x:c r="E595" s="32"/>
      <x:c r="F595" s="32"/>
      <x:c r="G595" s="32"/>
      <x:c r="H595" s="32"/>
      <x:c r="I595" s="32"/>
      <x:c r="J595" s="32"/>
      <x:c r="K595" s="32"/>
      <x:c r="L595" s="32"/>
      <x:c r="M595" s="32"/>
      <x:c r="N595" s="37"/>
      <x:c r="O595" s="32"/>
      <x:c r="P595" s="40"/>
      <x:c r="Q595" s="40"/>
      <x:c r="R595" s="41" t="str">
        <x:f>IF(OR(P595="",Q595=""),"",P595-Q595)</x:f>
      </x:c>
      <x:c r="S595" s="32"/>
      <x:c r="T595" s="32"/>
      <x:c r="U595" s="32"/>
      <x:c r="V595" s="32"/>
      <x:c r="W595" s="32"/>
      <x:c r="X595" s="32"/>
      <x:c r="Y595" s="43" t="str">
        <x:f>IF(OR(X595="",X595="Pending"),"",IF(X595="Rejected",0,IF(AND(U595="Ya",V595="Ya",W595="Ya"),1,"")))</x:f>
      </x:c>
      <x:c r="AA595" s="32"/>
      <x:c r="AB595" s="32"/>
      <x:c r="AC595" s="32"/>
      <x:c r="AD595" s="32"/>
      <x:c r="AE595" s="32"/>
      <x:c r="AF595" s="32"/>
      <x:c r="AG595" s="33" t="str">
        <x:f>IF(OR(AE595="",AF595=""),"",IF(AE595="Positif",IF(AF595="Positif","TP","FN"),IF(AF595="Positif","FP","TN")))</x:f>
      </x:c>
    </x:row>
    <x:row r="596">
      <x:c r="A596" s="32"/>
      <x:c r="B596" s="32"/>
      <x:c r="C596" s="32"/>
      <x:c r="D596" s="35"/>
      <x:c r="E596" s="32"/>
      <x:c r="F596" s="32"/>
      <x:c r="G596" s="32"/>
      <x:c r="H596" s="32"/>
      <x:c r="I596" s="32"/>
      <x:c r="J596" s="32"/>
      <x:c r="K596" s="32"/>
      <x:c r="L596" s="32"/>
      <x:c r="M596" s="32"/>
      <x:c r="N596" s="37"/>
      <x:c r="O596" s="32"/>
      <x:c r="P596" s="40"/>
      <x:c r="Q596" s="40"/>
      <x:c r="R596" s="41" t="str">
        <x:f>IF(OR(P596="",Q596=""),"",P596-Q596)</x:f>
      </x:c>
      <x:c r="S596" s="32"/>
      <x:c r="T596" s="32"/>
      <x:c r="U596" s="32"/>
      <x:c r="V596" s="32"/>
      <x:c r="W596" s="32"/>
      <x:c r="X596" s="32"/>
      <x:c r="Y596" s="43" t="str">
        <x:f>IF(OR(X596="",X596="Pending"),"",IF(X596="Rejected",0,IF(AND(U596="Ya",V596="Ya",W596="Ya"),1,"")))</x:f>
      </x:c>
      <x:c r="AA596" s="32"/>
      <x:c r="AB596" s="32"/>
      <x:c r="AC596" s="32"/>
      <x:c r="AD596" s="32"/>
      <x:c r="AE596" s="32"/>
      <x:c r="AF596" s="32"/>
      <x:c r="AG596" s="33" t="str">
        <x:f>IF(OR(AE596="",AF596=""),"",IF(AE596="Positif",IF(AF596="Positif","TP","FN"),IF(AF596="Positif","FP","TN")))</x:f>
      </x:c>
    </x:row>
    <x:row r="597">
      <x:c r="A597" s="32"/>
      <x:c r="B597" s="32"/>
      <x:c r="C597" s="32"/>
      <x:c r="D597" s="35"/>
      <x:c r="E597" s="32"/>
      <x:c r="F597" s="32"/>
      <x:c r="G597" s="32"/>
      <x:c r="H597" s="32"/>
      <x:c r="I597" s="32"/>
      <x:c r="J597" s="32"/>
      <x:c r="K597" s="32"/>
      <x:c r="L597" s="32"/>
      <x:c r="M597" s="32"/>
      <x:c r="N597" s="37"/>
      <x:c r="O597" s="32"/>
      <x:c r="P597" s="40"/>
      <x:c r="Q597" s="40"/>
      <x:c r="R597" s="41" t="str">
        <x:f>IF(OR(P597="",Q597=""),"",P597-Q597)</x:f>
      </x:c>
      <x:c r="S597" s="32"/>
      <x:c r="T597" s="32"/>
      <x:c r="U597" s="32"/>
      <x:c r="V597" s="32"/>
      <x:c r="W597" s="32"/>
      <x:c r="X597" s="32"/>
      <x:c r="Y597" s="43" t="str">
        <x:f>IF(OR(X597="",X597="Pending"),"",IF(X597="Rejected",0,IF(AND(U597="Ya",V597="Ya",W597="Ya"),1,"")))</x:f>
      </x:c>
      <x:c r="AA597" s="32"/>
      <x:c r="AB597" s="32"/>
      <x:c r="AC597" s="32"/>
      <x:c r="AD597" s="32"/>
      <x:c r="AE597" s="32"/>
      <x:c r="AF597" s="32"/>
      <x:c r="AG597" s="33" t="str">
        <x:f>IF(OR(AE597="",AF597=""),"",IF(AE597="Positif",IF(AF597="Positif","TP","FN"),IF(AF597="Positif","FP","TN")))</x:f>
      </x:c>
    </x:row>
    <x:row r="598">
      <x:c r="A598" s="32"/>
      <x:c r="B598" s="32"/>
      <x:c r="C598" s="32"/>
      <x:c r="D598" s="35"/>
      <x:c r="E598" s="32"/>
      <x:c r="F598" s="32"/>
      <x:c r="G598" s="32"/>
      <x:c r="H598" s="32"/>
      <x:c r="I598" s="32"/>
      <x:c r="J598" s="32"/>
      <x:c r="K598" s="32"/>
      <x:c r="L598" s="32"/>
      <x:c r="M598" s="32"/>
      <x:c r="N598" s="37"/>
      <x:c r="O598" s="32"/>
      <x:c r="P598" s="40"/>
      <x:c r="Q598" s="40"/>
      <x:c r="R598" s="41" t="str">
        <x:f>IF(OR(P598="",Q598=""),"",P598-Q598)</x:f>
      </x:c>
      <x:c r="S598" s="32"/>
      <x:c r="T598" s="32"/>
      <x:c r="U598" s="32"/>
      <x:c r="V598" s="32"/>
      <x:c r="W598" s="32"/>
      <x:c r="X598" s="32"/>
      <x:c r="Y598" s="43" t="str">
        <x:f>IF(OR(X598="",X598="Pending"),"",IF(X598="Rejected",0,IF(AND(U598="Ya",V598="Ya",W598="Ya"),1,"")))</x:f>
      </x:c>
      <x:c r="AA598" s="32"/>
      <x:c r="AB598" s="32"/>
      <x:c r="AC598" s="32"/>
      <x:c r="AD598" s="32"/>
      <x:c r="AE598" s="32"/>
      <x:c r="AF598" s="32"/>
      <x:c r="AG598" s="33" t="str">
        <x:f>IF(OR(AE598="",AF598=""),"",IF(AE598="Positif",IF(AF598="Positif","TP","FN"),IF(AF598="Positif","FP","TN")))</x:f>
      </x:c>
    </x:row>
    <x:row r="599">
      <x:c r="A599" s="32"/>
      <x:c r="B599" s="32"/>
      <x:c r="C599" s="32"/>
      <x:c r="D599" s="35"/>
      <x:c r="E599" s="32"/>
      <x:c r="F599" s="32"/>
      <x:c r="G599" s="32"/>
      <x:c r="H599" s="32"/>
      <x:c r="I599" s="32"/>
      <x:c r="J599" s="32"/>
      <x:c r="K599" s="32"/>
      <x:c r="L599" s="32"/>
      <x:c r="M599" s="32"/>
      <x:c r="N599" s="37"/>
      <x:c r="O599" s="32"/>
      <x:c r="P599" s="40"/>
      <x:c r="Q599" s="40"/>
      <x:c r="R599" s="41" t="str">
        <x:f>IF(OR(P599="",Q599=""),"",P599-Q599)</x:f>
      </x:c>
      <x:c r="S599" s="32"/>
      <x:c r="T599" s="32"/>
      <x:c r="U599" s="32"/>
      <x:c r="V599" s="32"/>
      <x:c r="W599" s="32"/>
      <x:c r="X599" s="32"/>
      <x:c r="Y599" s="43" t="str">
        <x:f>IF(OR(X599="",X599="Pending"),"",IF(X599="Rejected",0,IF(AND(U599="Ya",V599="Ya",W599="Ya"),1,"")))</x:f>
      </x:c>
      <x:c r="AA599" s="32"/>
      <x:c r="AB599" s="32"/>
      <x:c r="AC599" s="32"/>
      <x:c r="AD599" s="32"/>
      <x:c r="AE599" s="32"/>
      <x:c r="AF599" s="32"/>
      <x:c r="AG599" s="33" t="str">
        <x:f>IF(OR(AE599="",AF599=""),"",IF(AE599="Positif",IF(AF599="Positif","TP","FN"),IF(AF599="Positif","FP","TN")))</x:f>
      </x:c>
    </x:row>
    <x:row r="600">
      <x:c r="A600" s="32"/>
      <x:c r="B600" s="32"/>
      <x:c r="C600" s="32"/>
      <x:c r="D600" s="35"/>
      <x:c r="E600" s="32"/>
      <x:c r="F600" s="32"/>
      <x:c r="G600" s="32"/>
      <x:c r="H600" s="32"/>
      <x:c r="I600" s="32"/>
      <x:c r="J600" s="32"/>
      <x:c r="K600" s="32"/>
      <x:c r="L600" s="32"/>
      <x:c r="M600" s="32"/>
      <x:c r="N600" s="37"/>
      <x:c r="O600" s="32"/>
      <x:c r="P600" s="40"/>
      <x:c r="Q600" s="40"/>
      <x:c r="R600" s="41" t="str">
        <x:f>IF(OR(P600="",Q600=""),"",P600-Q600)</x:f>
      </x:c>
      <x:c r="S600" s="32"/>
      <x:c r="T600" s="32"/>
      <x:c r="U600" s="32"/>
      <x:c r="V600" s="32"/>
      <x:c r="W600" s="32"/>
      <x:c r="X600" s="32"/>
      <x:c r="Y600" s="43" t="str">
        <x:f>IF(OR(X600="",X600="Pending"),"",IF(X600="Rejected",0,IF(AND(U600="Ya",V600="Ya",W600="Ya"),1,"")))</x:f>
      </x:c>
      <x:c r="AA600" s="32"/>
      <x:c r="AB600" s="32"/>
      <x:c r="AC600" s="32"/>
      <x:c r="AD600" s="32"/>
      <x:c r="AE600" s="32"/>
      <x:c r="AF600" s="32"/>
      <x:c r="AG600" s="33" t="str">
        <x:f>IF(OR(AE600="",AF600=""),"",IF(AE600="Positif",IF(AF600="Positif","TP","FN"),IF(AF600="Positif","FP","TN")))</x:f>
      </x:c>
    </x:row>
    <x:row r="601">
      <x:c r="A601" s="32"/>
      <x:c r="B601" s="32"/>
      <x:c r="C601" s="32"/>
      <x:c r="D601" s="35"/>
      <x:c r="E601" s="32"/>
      <x:c r="F601" s="32"/>
      <x:c r="G601" s="32"/>
      <x:c r="H601" s="32"/>
      <x:c r="I601" s="32"/>
      <x:c r="J601" s="32"/>
      <x:c r="K601" s="32"/>
      <x:c r="L601" s="32"/>
      <x:c r="M601" s="32"/>
      <x:c r="N601" s="37"/>
      <x:c r="O601" s="32"/>
      <x:c r="P601" s="40"/>
      <x:c r="Q601" s="40"/>
      <x:c r="R601" s="41" t="str">
        <x:f>IF(OR(P601="",Q601=""),"",P601-Q601)</x:f>
      </x:c>
      <x:c r="S601" s="32"/>
      <x:c r="T601" s="32"/>
      <x:c r="U601" s="32"/>
      <x:c r="V601" s="32"/>
      <x:c r="W601" s="32"/>
      <x:c r="X601" s="32"/>
      <x:c r="Y601" s="43" t="str">
        <x:f>IF(OR(X601="",X601="Pending"),"",IF(X601="Rejected",0,IF(AND(U601="Ya",V601="Ya",W601="Ya"),1,"")))</x:f>
      </x:c>
      <x:c r="AA601" s="32"/>
      <x:c r="AB601" s="32"/>
      <x:c r="AC601" s="32"/>
      <x:c r="AD601" s="32"/>
      <x:c r="AE601" s="32"/>
      <x:c r="AF601" s="32"/>
      <x:c r="AG601" s="33" t="str">
        <x:f>IF(OR(AE601="",AF601=""),"",IF(AE601="Positif",IF(AF601="Positif","TP","FN"),IF(AF601="Positif","FP","TN")))</x:f>
      </x:c>
    </x:row>
    <x:row r="602">
      <x:c r="A602" s="32"/>
      <x:c r="B602" s="32"/>
      <x:c r="C602" s="32"/>
      <x:c r="D602" s="35"/>
      <x:c r="E602" s="32"/>
      <x:c r="F602" s="32"/>
      <x:c r="G602" s="32"/>
      <x:c r="H602" s="32"/>
      <x:c r="I602" s="32"/>
      <x:c r="J602" s="32"/>
      <x:c r="K602" s="32"/>
      <x:c r="L602" s="32"/>
      <x:c r="M602" s="32"/>
      <x:c r="N602" s="37"/>
      <x:c r="O602" s="32"/>
      <x:c r="P602" s="40"/>
      <x:c r="Q602" s="40"/>
      <x:c r="R602" s="41" t="str">
        <x:f>IF(OR(P602="",Q602=""),"",P602-Q602)</x:f>
      </x:c>
      <x:c r="S602" s="32"/>
      <x:c r="T602" s="32"/>
      <x:c r="U602" s="32"/>
      <x:c r="V602" s="32"/>
      <x:c r="W602" s="32"/>
      <x:c r="X602" s="32"/>
      <x:c r="Y602" s="43" t="str">
        <x:f>IF(OR(X602="",X602="Pending"),"",IF(X602="Rejected",0,IF(AND(U602="Ya",V602="Ya",W602="Ya"),1,"")))</x:f>
      </x:c>
      <x:c r="AA602" s="32"/>
      <x:c r="AB602" s="32"/>
      <x:c r="AC602" s="32"/>
      <x:c r="AD602" s="32"/>
      <x:c r="AE602" s="32"/>
      <x:c r="AF602" s="32"/>
      <x:c r="AG602" s="33" t="str">
        <x:f>IF(OR(AE602="",AF602=""),"",IF(AE602="Positif",IF(AF602="Positif","TP","FN"),IF(AF602="Positif","FP","TN")))</x:f>
      </x:c>
    </x:row>
    <x:row r="603">
      <x:c r="A603" s="32"/>
      <x:c r="B603" s="32"/>
      <x:c r="C603" s="32"/>
      <x:c r="D603" s="35"/>
      <x:c r="E603" s="32"/>
      <x:c r="F603" s="32"/>
      <x:c r="G603" s="32"/>
      <x:c r="H603" s="32"/>
      <x:c r="I603" s="32"/>
      <x:c r="J603" s="32"/>
      <x:c r="K603" s="32"/>
      <x:c r="L603" s="32"/>
      <x:c r="M603" s="32"/>
      <x:c r="N603" s="37"/>
      <x:c r="O603" s="32"/>
      <x:c r="P603" s="40"/>
      <x:c r="Q603" s="40"/>
      <x:c r="R603" s="41" t="str">
        <x:f>IF(OR(P603="",Q603=""),"",P603-Q603)</x:f>
      </x:c>
      <x:c r="S603" s="32"/>
      <x:c r="T603" s="32"/>
      <x:c r="U603" s="32"/>
      <x:c r="V603" s="32"/>
      <x:c r="W603" s="32"/>
      <x:c r="X603" s="32"/>
      <x:c r="Y603" s="43" t="str">
        <x:f>IF(OR(X603="",X603="Pending"),"",IF(X603="Rejected",0,IF(AND(U603="Ya",V603="Ya",W603="Ya"),1,"")))</x:f>
      </x:c>
      <x:c r="AA603" s="32"/>
      <x:c r="AB603" s="32"/>
      <x:c r="AC603" s="32"/>
      <x:c r="AD603" s="32"/>
      <x:c r="AE603" s="32"/>
      <x:c r="AF603" s="32"/>
      <x:c r="AG603" s="33" t="str">
        <x:f>IF(OR(AE603="",AF603=""),"",IF(AE603="Positif",IF(AF603="Positif","TP","FN"),IF(AF603="Positif","FP","TN")))</x:f>
      </x:c>
    </x:row>
    <x:row r="604">
      <x:c r="A604" s="32"/>
      <x:c r="B604" s="32"/>
      <x:c r="C604" s="32"/>
      <x:c r="D604" s="35"/>
      <x:c r="E604" s="32"/>
      <x:c r="F604" s="32"/>
      <x:c r="G604" s="32"/>
      <x:c r="H604" s="32"/>
      <x:c r="I604" s="32"/>
      <x:c r="J604" s="32"/>
      <x:c r="K604" s="32"/>
      <x:c r="L604" s="32"/>
      <x:c r="M604" s="32"/>
      <x:c r="N604" s="37"/>
      <x:c r="O604" s="32"/>
      <x:c r="P604" s="40"/>
      <x:c r="Q604" s="40"/>
      <x:c r="R604" s="41" t="str">
        <x:f>IF(OR(P604="",Q604=""),"",P604-Q604)</x:f>
      </x:c>
      <x:c r="S604" s="32"/>
      <x:c r="T604" s="32"/>
      <x:c r="U604" s="32"/>
      <x:c r="V604" s="32"/>
      <x:c r="W604" s="32"/>
      <x:c r="X604" s="32"/>
      <x:c r="Y604" s="43" t="str">
        <x:f>IF(OR(X604="",X604="Pending"),"",IF(X604="Rejected",0,IF(AND(U604="Ya",V604="Ya",W604="Ya"),1,"")))</x:f>
      </x:c>
      <x:c r="AA604" s="32"/>
      <x:c r="AB604" s="32"/>
      <x:c r="AC604" s="32"/>
      <x:c r="AD604" s="32"/>
      <x:c r="AE604" s="32"/>
      <x:c r="AF604" s="32"/>
      <x:c r="AG604" s="33" t="str">
        <x:f>IF(OR(AE604="",AF604=""),"",IF(AE604="Positif",IF(AF604="Positif","TP","FN"),IF(AF604="Positif","FP","TN")))</x:f>
      </x:c>
    </x:row>
    <x:row r="605">
      <x:c r="A605" s="32"/>
      <x:c r="B605" s="32"/>
      <x:c r="C605" s="32"/>
      <x:c r="D605" s="35"/>
      <x:c r="E605" s="32"/>
      <x:c r="F605" s="32"/>
      <x:c r="G605" s="32"/>
      <x:c r="H605" s="32"/>
      <x:c r="I605" s="32"/>
      <x:c r="J605" s="32"/>
      <x:c r="K605" s="32"/>
      <x:c r="L605" s="32"/>
      <x:c r="M605" s="32"/>
      <x:c r="N605" s="37"/>
      <x:c r="O605" s="32"/>
      <x:c r="P605" s="40"/>
      <x:c r="Q605" s="40"/>
      <x:c r="R605" s="41" t="str">
        <x:f>IF(OR(P605="",Q605=""),"",P605-Q605)</x:f>
      </x:c>
      <x:c r="S605" s="32"/>
      <x:c r="T605" s="32"/>
      <x:c r="U605" s="32"/>
      <x:c r="V605" s="32"/>
      <x:c r="W605" s="32"/>
      <x:c r="X605" s="32"/>
      <x:c r="Y605" s="43" t="str">
        <x:f>IF(OR(X605="",X605="Pending"),"",IF(X605="Rejected",0,IF(AND(U605="Ya",V605="Ya",W605="Ya"),1,"")))</x:f>
      </x:c>
      <x:c r="AA605" s="32"/>
      <x:c r="AB605" s="32"/>
      <x:c r="AC605" s="32"/>
      <x:c r="AD605" s="32"/>
      <x:c r="AE605" s="32"/>
      <x:c r="AF605" s="32"/>
      <x:c r="AG605" s="33" t="str">
        <x:f>IF(OR(AE605="",AF605=""),"",IF(AE605="Positif",IF(AF605="Positif","TP","FN"),IF(AF605="Positif","FP","TN")))</x:f>
      </x:c>
    </x:row>
    <x:row r="606">
      <x:c r="A606" s="32"/>
      <x:c r="B606" s="32"/>
      <x:c r="C606" s="32"/>
      <x:c r="D606" s="35"/>
      <x:c r="E606" s="32"/>
      <x:c r="F606" s="32"/>
      <x:c r="G606" s="32"/>
      <x:c r="H606" s="32"/>
      <x:c r="I606" s="32"/>
      <x:c r="J606" s="32"/>
      <x:c r="K606" s="32"/>
      <x:c r="L606" s="32"/>
      <x:c r="M606" s="32"/>
      <x:c r="N606" s="37"/>
      <x:c r="O606" s="32"/>
      <x:c r="P606" s="40"/>
      <x:c r="Q606" s="40"/>
      <x:c r="R606" s="41" t="str">
        <x:f>IF(OR(P606="",Q606=""),"",P606-Q606)</x:f>
      </x:c>
      <x:c r="S606" s="32"/>
      <x:c r="T606" s="32"/>
      <x:c r="U606" s="32"/>
      <x:c r="V606" s="32"/>
      <x:c r="W606" s="32"/>
      <x:c r="X606" s="32"/>
      <x:c r="Y606" s="43" t="str">
        <x:f>IF(OR(X606="",X606="Pending"),"",IF(X606="Rejected",0,IF(AND(U606="Ya",V606="Ya",W606="Ya"),1,"")))</x:f>
      </x:c>
      <x:c r="AA606" s="32"/>
      <x:c r="AB606" s="32"/>
      <x:c r="AC606" s="32"/>
      <x:c r="AD606" s="32"/>
      <x:c r="AE606" s="32"/>
      <x:c r="AF606" s="32"/>
      <x:c r="AG606" s="33" t="str">
        <x:f>IF(OR(AE606="",AF606=""),"",IF(AE606="Positif",IF(AF606="Positif","TP","FN"),IF(AF606="Positif","FP","TN")))</x:f>
      </x:c>
    </x:row>
    <x:row r="607">
      <x:c r="A607" s="32"/>
      <x:c r="B607" s="32"/>
      <x:c r="C607" s="32"/>
      <x:c r="D607" s="35"/>
      <x:c r="E607" s="32"/>
      <x:c r="F607" s="32"/>
      <x:c r="G607" s="32"/>
      <x:c r="H607" s="32"/>
      <x:c r="I607" s="32"/>
      <x:c r="J607" s="32"/>
      <x:c r="K607" s="32"/>
      <x:c r="L607" s="32"/>
      <x:c r="M607" s="32"/>
      <x:c r="N607" s="37"/>
      <x:c r="O607" s="32"/>
      <x:c r="P607" s="40"/>
      <x:c r="Q607" s="40"/>
      <x:c r="R607" s="41" t="str">
        <x:f>IF(OR(P607="",Q607=""),"",P607-Q607)</x:f>
      </x:c>
      <x:c r="S607" s="32"/>
      <x:c r="T607" s="32"/>
      <x:c r="U607" s="32"/>
      <x:c r="V607" s="32"/>
      <x:c r="W607" s="32"/>
      <x:c r="X607" s="32"/>
      <x:c r="Y607" s="43" t="str">
        <x:f>IF(OR(X607="",X607="Pending"),"",IF(X607="Rejected",0,IF(AND(U607="Ya",V607="Ya",W607="Ya"),1,"")))</x:f>
      </x:c>
      <x:c r="AA607" s="32"/>
      <x:c r="AB607" s="32"/>
      <x:c r="AC607" s="32"/>
      <x:c r="AD607" s="32"/>
      <x:c r="AE607" s="32"/>
      <x:c r="AF607" s="32"/>
      <x:c r="AG607" s="33" t="str">
        <x:f>IF(OR(AE607="",AF607=""),"",IF(AE607="Positif",IF(AF607="Positif","TP","FN"),IF(AF607="Positif","FP","TN")))</x:f>
      </x:c>
    </x:row>
    <x:row r="608">
      <x:c r="A608" s="32"/>
      <x:c r="B608" s="32"/>
      <x:c r="C608" s="32"/>
      <x:c r="D608" s="35"/>
      <x:c r="E608" s="32"/>
      <x:c r="F608" s="32"/>
      <x:c r="G608" s="32"/>
      <x:c r="H608" s="32"/>
      <x:c r="I608" s="32"/>
      <x:c r="J608" s="32"/>
      <x:c r="K608" s="32"/>
      <x:c r="L608" s="32"/>
      <x:c r="M608" s="32"/>
      <x:c r="N608" s="37"/>
      <x:c r="O608" s="32"/>
      <x:c r="P608" s="40"/>
      <x:c r="Q608" s="40"/>
      <x:c r="R608" s="41" t="str">
        <x:f>IF(OR(P608="",Q608=""),"",P608-Q608)</x:f>
      </x:c>
      <x:c r="S608" s="32"/>
      <x:c r="T608" s="32"/>
      <x:c r="U608" s="32"/>
      <x:c r="V608" s="32"/>
      <x:c r="W608" s="32"/>
      <x:c r="X608" s="32"/>
      <x:c r="Y608" s="43" t="str">
        <x:f>IF(OR(X608="",X608="Pending"),"",IF(X608="Rejected",0,IF(AND(U608="Ya",V608="Ya",W608="Ya"),1,"")))</x:f>
      </x:c>
      <x:c r="AA608" s="32"/>
      <x:c r="AB608" s="32"/>
      <x:c r="AC608" s="32"/>
      <x:c r="AD608" s="32"/>
      <x:c r="AE608" s="32"/>
      <x:c r="AF608" s="32"/>
      <x:c r="AG608" s="33" t="str">
        <x:f>IF(OR(AE608="",AF608=""),"",IF(AE608="Positif",IF(AF608="Positif","TP","FN"),IF(AF608="Positif","FP","TN")))</x:f>
      </x:c>
    </x:row>
    <x:row r="609">
      <x:c r="A609" s="32"/>
      <x:c r="B609" s="32"/>
      <x:c r="C609" s="32"/>
      <x:c r="D609" s="35"/>
      <x:c r="E609" s="32"/>
      <x:c r="F609" s="32"/>
      <x:c r="G609" s="32"/>
      <x:c r="H609" s="32"/>
      <x:c r="I609" s="32"/>
      <x:c r="J609" s="32"/>
      <x:c r="K609" s="32"/>
      <x:c r="L609" s="32"/>
      <x:c r="M609" s="32"/>
      <x:c r="N609" s="37"/>
      <x:c r="O609" s="32"/>
      <x:c r="P609" s="40"/>
      <x:c r="Q609" s="40"/>
      <x:c r="R609" s="41" t="str">
        <x:f>IF(OR(P609="",Q609=""),"",P609-Q609)</x:f>
      </x:c>
      <x:c r="S609" s="32"/>
      <x:c r="T609" s="32"/>
      <x:c r="U609" s="32"/>
      <x:c r="V609" s="32"/>
      <x:c r="W609" s="32"/>
      <x:c r="X609" s="32"/>
      <x:c r="Y609" s="43" t="str">
        <x:f>IF(OR(X609="",X609="Pending"),"",IF(X609="Rejected",0,IF(AND(U609="Ya",V609="Ya",W609="Ya"),1,"")))</x:f>
      </x:c>
      <x:c r="AA609" s="32"/>
      <x:c r="AB609" s="32"/>
      <x:c r="AC609" s="32"/>
      <x:c r="AD609" s="32"/>
      <x:c r="AE609" s="32"/>
      <x:c r="AF609" s="32"/>
      <x:c r="AG609" s="33" t="str">
        <x:f>IF(OR(AE609="",AF609=""),"",IF(AE609="Positif",IF(AF609="Positif","TP","FN"),IF(AF609="Positif","FP","TN")))</x:f>
      </x:c>
    </x:row>
    <x:row r="610">
      <x:c r="A610" s="32"/>
      <x:c r="B610" s="32"/>
      <x:c r="C610" s="32"/>
      <x:c r="D610" s="35"/>
      <x:c r="E610" s="32"/>
      <x:c r="F610" s="32"/>
      <x:c r="G610" s="32"/>
      <x:c r="H610" s="32"/>
      <x:c r="I610" s="32"/>
      <x:c r="J610" s="32"/>
      <x:c r="K610" s="32"/>
      <x:c r="L610" s="32"/>
      <x:c r="M610" s="32"/>
      <x:c r="N610" s="37"/>
      <x:c r="O610" s="32"/>
      <x:c r="P610" s="40"/>
      <x:c r="Q610" s="40"/>
      <x:c r="R610" s="41" t="str">
        <x:f>IF(OR(P610="",Q610=""),"",P610-Q610)</x:f>
      </x:c>
      <x:c r="S610" s="32"/>
      <x:c r="T610" s="32"/>
      <x:c r="U610" s="32"/>
      <x:c r="V610" s="32"/>
      <x:c r="W610" s="32"/>
      <x:c r="X610" s="32"/>
      <x:c r="Y610" s="43" t="str">
        <x:f>IF(OR(X610="",X610="Pending"),"",IF(X610="Rejected",0,IF(AND(U610="Ya",V610="Ya",W610="Ya"),1,"")))</x:f>
      </x:c>
      <x:c r="AA610" s="32"/>
      <x:c r="AB610" s="32"/>
      <x:c r="AC610" s="32"/>
      <x:c r="AD610" s="32"/>
      <x:c r="AE610" s="32"/>
      <x:c r="AF610" s="32"/>
      <x:c r="AG610" s="33" t="str">
        <x:f>IF(OR(AE610="",AF610=""),"",IF(AE610="Positif",IF(AF610="Positif","TP","FN"),IF(AF610="Positif","FP","TN")))</x:f>
      </x:c>
    </x:row>
    <x:row r="611">
      <x:c r="A611" s="32"/>
      <x:c r="B611" s="32"/>
      <x:c r="C611" s="32"/>
      <x:c r="D611" s="35"/>
      <x:c r="E611" s="32"/>
      <x:c r="F611" s="32"/>
      <x:c r="G611" s="32"/>
      <x:c r="H611" s="32"/>
      <x:c r="I611" s="32"/>
      <x:c r="J611" s="32"/>
      <x:c r="K611" s="32"/>
      <x:c r="L611" s="32"/>
      <x:c r="M611" s="32"/>
      <x:c r="N611" s="37"/>
      <x:c r="O611" s="32"/>
      <x:c r="P611" s="40"/>
      <x:c r="Q611" s="40"/>
      <x:c r="R611" s="41" t="str">
        <x:f>IF(OR(P611="",Q611=""),"",P611-Q611)</x:f>
      </x:c>
      <x:c r="S611" s="32"/>
      <x:c r="T611" s="32"/>
      <x:c r="U611" s="32"/>
      <x:c r="V611" s="32"/>
      <x:c r="W611" s="32"/>
      <x:c r="X611" s="32"/>
      <x:c r="Y611" s="43" t="str">
        <x:f>IF(OR(X611="",X611="Pending"),"",IF(X611="Rejected",0,IF(AND(U611="Ya",V611="Ya",W611="Ya"),1,"")))</x:f>
      </x:c>
      <x:c r="AA611" s="32"/>
      <x:c r="AB611" s="32"/>
      <x:c r="AC611" s="32"/>
      <x:c r="AD611" s="32"/>
      <x:c r="AE611" s="32"/>
      <x:c r="AF611" s="32"/>
      <x:c r="AG611" s="33" t="str">
        <x:f>IF(OR(AE611="",AF611=""),"",IF(AE611="Positif",IF(AF611="Positif","TP","FN"),IF(AF611="Positif","FP","TN")))</x:f>
      </x:c>
    </x:row>
    <x:row r="612">
      <x:c r="A612" s="32"/>
      <x:c r="B612" s="32"/>
      <x:c r="C612" s="32"/>
      <x:c r="D612" s="35"/>
      <x:c r="E612" s="32"/>
      <x:c r="F612" s="32"/>
      <x:c r="G612" s="32"/>
      <x:c r="H612" s="32"/>
      <x:c r="I612" s="32"/>
      <x:c r="J612" s="32"/>
      <x:c r="K612" s="32"/>
      <x:c r="L612" s="32"/>
      <x:c r="M612" s="32"/>
      <x:c r="N612" s="37"/>
      <x:c r="O612" s="32"/>
      <x:c r="P612" s="40"/>
      <x:c r="Q612" s="40"/>
      <x:c r="R612" s="41" t="str">
        <x:f>IF(OR(P612="",Q612=""),"",P612-Q612)</x:f>
      </x:c>
      <x:c r="S612" s="32"/>
      <x:c r="T612" s="32"/>
      <x:c r="U612" s="32"/>
      <x:c r="V612" s="32"/>
      <x:c r="W612" s="32"/>
      <x:c r="X612" s="32"/>
      <x:c r="Y612" s="43" t="str">
        <x:f>IF(OR(X612="",X612="Pending"),"",IF(X612="Rejected",0,IF(AND(U612="Ya",V612="Ya",W612="Ya"),1,"")))</x:f>
      </x:c>
      <x:c r="AA612" s="32"/>
      <x:c r="AB612" s="32"/>
      <x:c r="AC612" s="32"/>
      <x:c r="AD612" s="32"/>
      <x:c r="AE612" s="32"/>
      <x:c r="AF612" s="32"/>
      <x:c r="AG612" s="33" t="str">
        <x:f>IF(OR(AE612="",AF612=""),"",IF(AE612="Positif",IF(AF612="Positif","TP","FN"),IF(AF612="Positif","FP","TN")))</x:f>
      </x:c>
    </x:row>
    <x:row r="613">
      <x:c r="A613" s="32"/>
      <x:c r="B613" s="32"/>
      <x:c r="C613" s="32"/>
      <x:c r="D613" s="35"/>
      <x:c r="E613" s="32"/>
      <x:c r="F613" s="32"/>
      <x:c r="G613" s="32"/>
      <x:c r="H613" s="32"/>
      <x:c r="I613" s="32"/>
      <x:c r="J613" s="32"/>
      <x:c r="K613" s="32"/>
      <x:c r="L613" s="32"/>
      <x:c r="M613" s="32"/>
      <x:c r="N613" s="37"/>
      <x:c r="O613" s="32"/>
      <x:c r="P613" s="40"/>
      <x:c r="Q613" s="40"/>
      <x:c r="R613" s="41" t="str">
        <x:f>IF(OR(P613="",Q613=""),"",P613-Q613)</x:f>
      </x:c>
      <x:c r="S613" s="32"/>
      <x:c r="T613" s="32"/>
      <x:c r="U613" s="32"/>
      <x:c r="V613" s="32"/>
      <x:c r="W613" s="32"/>
      <x:c r="X613" s="32"/>
      <x:c r="Y613" s="43" t="str">
        <x:f>IF(OR(X613="",X613="Pending"),"",IF(X613="Rejected",0,IF(AND(U613="Ya",V613="Ya",W613="Ya"),1,"")))</x:f>
      </x:c>
      <x:c r="AA613" s="32"/>
      <x:c r="AB613" s="32"/>
      <x:c r="AC613" s="32"/>
      <x:c r="AD613" s="32"/>
      <x:c r="AE613" s="32"/>
      <x:c r="AF613" s="32"/>
      <x:c r="AG613" s="33" t="str">
        <x:f>IF(OR(AE613="",AF613=""),"",IF(AE613="Positif",IF(AF613="Positif","TP","FN"),IF(AF613="Positif","FP","TN")))</x:f>
      </x:c>
    </x:row>
    <x:row r="614">
      <x:c r="A614" s="32"/>
      <x:c r="B614" s="32"/>
      <x:c r="C614" s="32"/>
      <x:c r="D614" s="35"/>
      <x:c r="E614" s="32"/>
      <x:c r="F614" s="32"/>
      <x:c r="G614" s="32"/>
      <x:c r="H614" s="32"/>
      <x:c r="I614" s="32"/>
      <x:c r="J614" s="32"/>
      <x:c r="K614" s="32"/>
      <x:c r="L614" s="32"/>
      <x:c r="M614" s="32"/>
      <x:c r="N614" s="37"/>
      <x:c r="O614" s="32"/>
      <x:c r="P614" s="40"/>
      <x:c r="Q614" s="40"/>
      <x:c r="R614" s="41" t="str">
        <x:f>IF(OR(P614="",Q614=""),"",P614-Q614)</x:f>
      </x:c>
      <x:c r="S614" s="32"/>
      <x:c r="T614" s="32"/>
      <x:c r="U614" s="32"/>
      <x:c r="V614" s="32"/>
      <x:c r="W614" s="32"/>
      <x:c r="X614" s="32"/>
      <x:c r="Y614" s="43" t="str">
        <x:f>IF(OR(X614="",X614="Pending"),"",IF(X614="Rejected",0,IF(AND(U614="Ya",V614="Ya",W614="Ya"),1,"")))</x:f>
      </x:c>
      <x:c r="AA614" s="32"/>
      <x:c r="AB614" s="32"/>
      <x:c r="AC614" s="32"/>
      <x:c r="AD614" s="32"/>
      <x:c r="AE614" s="32"/>
      <x:c r="AF614" s="32"/>
      <x:c r="AG614" s="33" t="str">
        <x:f>IF(OR(AE614="",AF614=""),"",IF(AE614="Positif",IF(AF614="Positif","TP","FN"),IF(AF614="Positif","FP","TN")))</x:f>
      </x:c>
    </x:row>
    <x:row r="615">
      <x:c r="A615" s="32"/>
      <x:c r="B615" s="32"/>
      <x:c r="C615" s="32"/>
      <x:c r="D615" s="35"/>
      <x:c r="E615" s="32"/>
      <x:c r="F615" s="32"/>
      <x:c r="G615" s="32"/>
      <x:c r="H615" s="32"/>
      <x:c r="I615" s="32"/>
      <x:c r="J615" s="32"/>
      <x:c r="K615" s="32"/>
      <x:c r="L615" s="32"/>
      <x:c r="M615" s="32"/>
      <x:c r="N615" s="37"/>
      <x:c r="O615" s="32"/>
      <x:c r="P615" s="40"/>
      <x:c r="Q615" s="40"/>
      <x:c r="R615" s="41" t="str">
        <x:f>IF(OR(P615="",Q615=""),"",P615-Q615)</x:f>
      </x:c>
      <x:c r="S615" s="32"/>
      <x:c r="T615" s="32"/>
      <x:c r="U615" s="32"/>
      <x:c r="V615" s="32"/>
      <x:c r="W615" s="32"/>
      <x:c r="X615" s="32"/>
      <x:c r="Y615" s="43" t="str">
        <x:f>IF(OR(X615="",X615="Pending"),"",IF(X615="Rejected",0,IF(AND(U615="Ya",V615="Ya",W615="Ya"),1,"")))</x:f>
      </x:c>
      <x:c r="AA615" s="32"/>
      <x:c r="AB615" s="32"/>
      <x:c r="AC615" s="32"/>
      <x:c r="AD615" s="32"/>
      <x:c r="AE615" s="32"/>
      <x:c r="AF615" s="32"/>
      <x:c r="AG615" s="33" t="str">
        <x:f>IF(OR(AE615="",AF615=""),"",IF(AE615="Positif",IF(AF615="Positif","TP","FN"),IF(AF615="Positif","FP","TN")))</x:f>
      </x:c>
    </x:row>
    <x:row r="616">
      <x:c r="A616" s="32"/>
      <x:c r="B616" s="32"/>
      <x:c r="C616" s="32"/>
      <x:c r="D616" s="35"/>
      <x:c r="E616" s="32"/>
      <x:c r="F616" s="32"/>
      <x:c r="G616" s="32"/>
      <x:c r="H616" s="32"/>
      <x:c r="I616" s="32"/>
      <x:c r="J616" s="32"/>
      <x:c r="K616" s="32"/>
      <x:c r="L616" s="32"/>
      <x:c r="M616" s="32"/>
      <x:c r="N616" s="37"/>
      <x:c r="O616" s="32"/>
      <x:c r="P616" s="40"/>
      <x:c r="Q616" s="40"/>
      <x:c r="R616" s="41" t="str">
        <x:f>IF(OR(P616="",Q616=""),"",P616-Q616)</x:f>
      </x:c>
      <x:c r="S616" s="32"/>
      <x:c r="T616" s="32"/>
      <x:c r="U616" s="32"/>
      <x:c r="V616" s="32"/>
      <x:c r="W616" s="32"/>
      <x:c r="X616" s="32"/>
      <x:c r="Y616" s="43" t="str">
        <x:f>IF(OR(X616="",X616="Pending"),"",IF(X616="Rejected",0,IF(AND(U616="Ya",V616="Ya",W616="Ya"),1,"")))</x:f>
      </x:c>
      <x:c r="AA616" s="32"/>
      <x:c r="AB616" s="32"/>
      <x:c r="AC616" s="32"/>
      <x:c r="AD616" s="32"/>
      <x:c r="AE616" s="32"/>
      <x:c r="AF616" s="32"/>
      <x:c r="AG616" s="33" t="str">
        <x:f>IF(OR(AE616="",AF616=""),"",IF(AE616="Positif",IF(AF616="Positif","TP","FN"),IF(AF616="Positif","FP","TN")))</x:f>
      </x:c>
    </x:row>
    <x:row r="617">
      <x:c r="A617" s="32"/>
      <x:c r="B617" s="32"/>
      <x:c r="C617" s="32"/>
      <x:c r="D617" s="35"/>
      <x:c r="E617" s="32"/>
      <x:c r="F617" s="32"/>
      <x:c r="G617" s="32"/>
      <x:c r="H617" s="32"/>
      <x:c r="I617" s="32"/>
      <x:c r="J617" s="32"/>
      <x:c r="K617" s="32"/>
      <x:c r="L617" s="32"/>
      <x:c r="M617" s="32"/>
      <x:c r="N617" s="37"/>
      <x:c r="O617" s="32"/>
      <x:c r="P617" s="40"/>
      <x:c r="Q617" s="40"/>
      <x:c r="R617" s="41" t="str">
        <x:f>IF(OR(P617="",Q617=""),"",P617-Q617)</x:f>
      </x:c>
      <x:c r="S617" s="32"/>
      <x:c r="T617" s="32"/>
      <x:c r="U617" s="32"/>
      <x:c r="V617" s="32"/>
      <x:c r="W617" s="32"/>
      <x:c r="X617" s="32"/>
      <x:c r="Y617" s="43" t="str">
        <x:f>IF(OR(X617="",X617="Pending"),"",IF(X617="Rejected",0,IF(AND(U617="Ya",V617="Ya",W617="Ya"),1,"")))</x:f>
      </x:c>
      <x:c r="AA617" s="32"/>
      <x:c r="AB617" s="32"/>
      <x:c r="AC617" s="32"/>
      <x:c r="AD617" s="32"/>
      <x:c r="AE617" s="32"/>
      <x:c r="AF617" s="32"/>
      <x:c r="AG617" s="33" t="str">
        <x:f>IF(OR(AE617="",AF617=""),"",IF(AE617="Positif",IF(AF617="Positif","TP","FN"),IF(AF617="Positif","FP","TN")))</x:f>
      </x:c>
    </x:row>
    <x:row r="618">
      <x:c r="A618" s="32"/>
      <x:c r="B618" s="32"/>
      <x:c r="C618" s="32"/>
      <x:c r="D618" s="35"/>
      <x:c r="E618" s="32"/>
      <x:c r="F618" s="32"/>
      <x:c r="G618" s="32"/>
      <x:c r="H618" s="32"/>
      <x:c r="I618" s="32"/>
      <x:c r="J618" s="32"/>
      <x:c r="K618" s="32"/>
      <x:c r="L618" s="32"/>
      <x:c r="M618" s="32"/>
      <x:c r="N618" s="37"/>
      <x:c r="O618" s="32"/>
      <x:c r="P618" s="40"/>
      <x:c r="Q618" s="40"/>
      <x:c r="R618" s="41" t="str">
        <x:f>IF(OR(P618="",Q618=""),"",P618-Q618)</x:f>
      </x:c>
      <x:c r="S618" s="32"/>
      <x:c r="T618" s="32"/>
      <x:c r="U618" s="32"/>
      <x:c r="V618" s="32"/>
      <x:c r="W618" s="32"/>
      <x:c r="X618" s="32"/>
      <x:c r="Y618" s="43" t="str">
        <x:f>IF(OR(X618="",X618="Pending"),"",IF(X618="Rejected",0,IF(AND(U618="Ya",V618="Ya",W618="Ya"),1,"")))</x:f>
      </x:c>
      <x:c r="AA618" s="32"/>
      <x:c r="AB618" s="32"/>
      <x:c r="AC618" s="32"/>
      <x:c r="AD618" s="32"/>
      <x:c r="AE618" s="32"/>
      <x:c r="AF618" s="32"/>
      <x:c r="AG618" s="33" t="str">
        <x:f>IF(OR(AE618="",AF618=""),"",IF(AE618="Positif",IF(AF618="Positif","TP","FN"),IF(AF618="Positif","FP","TN")))</x:f>
      </x:c>
    </x:row>
    <x:row r="619">
      <x:c r="A619" s="32"/>
      <x:c r="B619" s="32"/>
      <x:c r="C619" s="32"/>
      <x:c r="D619" s="35"/>
      <x:c r="E619" s="32"/>
      <x:c r="F619" s="32"/>
      <x:c r="G619" s="32"/>
      <x:c r="H619" s="32"/>
      <x:c r="I619" s="32"/>
      <x:c r="J619" s="32"/>
      <x:c r="K619" s="32"/>
      <x:c r="L619" s="32"/>
      <x:c r="M619" s="32"/>
      <x:c r="N619" s="37"/>
      <x:c r="O619" s="32"/>
      <x:c r="P619" s="40"/>
      <x:c r="Q619" s="40"/>
      <x:c r="R619" s="41" t="str">
        <x:f>IF(OR(P619="",Q619=""),"",P619-Q619)</x:f>
      </x:c>
      <x:c r="S619" s="32"/>
      <x:c r="T619" s="32"/>
      <x:c r="U619" s="32"/>
      <x:c r="V619" s="32"/>
      <x:c r="W619" s="32"/>
      <x:c r="X619" s="32"/>
      <x:c r="Y619" s="43" t="str">
        <x:f>IF(OR(X619="",X619="Pending"),"",IF(X619="Rejected",0,IF(AND(U619="Ya",V619="Ya",W619="Ya"),1,"")))</x:f>
      </x:c>
      <x:c r="AA619" s="32"/>
      <x:c r="AB619" s="32"/>
      <x:c r="AC619" s="32"/>
      <x:c r="AD619" s="32"/>
      <x:c r="AE619" s="32"/>
      <x:c r="AF619" s="32"/>
      <x:c r="AG619" s="33" t="str">
        <x:f>IF(OR(AE619="",AF619=""),"",IF(AE619="Positif",IF(AF619="Positif","TP","FN"),IF(AF619="Positif","FP","TN")))</x:f>
      </x:c>
    </x:row>
    <x:row r="620">
      <x:c r="A620" s="32"/>
      <x:c r="B620" s="32"/>
      <x:c r="C620" s="32"/>
      <x:c r="D620" s="35"/>
      <x:c r="E620" s="32"/>
      <x:c r="F620" s="32"/>
      <x:c r="G620" s="32"/>
      <x:c r="H620" s="32"/>
      <x:c r="I620" s="32"/>
      <x:c r="J620" s="32"/>
      <x:c r="K620" s="32"/>
      <x:c r="L620" s="32"/>
      <x:c r="M620" s="32"/>
      <x:c r="N620" s="37"/>
      <x:c r="O620" s="32"/>
      <x:c r="P620" s="40"/>
      <x:c r="Q620" s="40"/>
      <x:c r="R620" s="41" t="str">
        <x:f>IF(OR(P620="",Q620=""),"",P620-Q620)</x:f>
      </x:c>
      <x:c r="S620" s="32"/>
      <x:c r="T620" s="32"/>
      <x:c r="U620" s="32"/>
      <x:c r="V620" s="32"/>
      <x:c r="W620" s="32"/>
      <x:c r="X620" s="32"/>
      <x:c r="Y620" s="43" t="str">
        <x:f>IF(OR(X620="",X620="Pending"),"",IF(X620="Rejected",0,IF(AND(U620="Ya",V620="Ya",W620="Ya"),1,"")))</x:f>
      </x:c>
      <x:c r="AA620" s="32"/>
      <x:c r="AB620" s="32"/>
      <x:c r="AC620" s="32"/>
      <x:c r="AD620" s="32"/>
      <x:c r="AE620" s="32"/>
      <x:c r="AF620" s="32"/>
      <x:c r="AG620" s="33" t="str">
        <x:f>IF(OR(AE620="",AF620=""),"",IF(AE620="Positif",IF(AF620="Positif","TP","FN"),IF(AF620="Positif","FP","TN")))</x:f>
      </x:c>
    </x:row>
    <x:row r="621">
      <x:c r="A621" s="32"/>
      <x:c r="B621" s="32"/>
      <x:c r="C621" s="32"/>
      <x:c r="D621" s="35"/>
      <x:c r="E621" s="32"/>
      <x:c r="F621" s="32"/>
      <x:c r="G621" s="32"/>
      <x:c r="H621" s="32"/>
      <x:c r="I621" s="32"/>
      <x:c r="J621" s="32"/>
      <x:c r="K621" s="32"/>
      <x:c r="L621" s="32"/>
      <x:c r="M621" s="32"/>
      <x:c r="N621" s="37"/>
      <x:c r="O621" s="32"/>
      <x:c r="P621" s="40"/>
      <x:c r="Q621" s="40"/>
      <x:c r="R621" s="41" t="str">
        <x:f>IF(OR(P621="",Q621=""),"",P621-Q621)</x:f>
      </x:c>
      <x:c r="S621" s="32"/>
      <x:c r="T621" s="32"/>
      <x:c r="U621" s="32"/>
      <x:c r="V621" s="32"/>
      <x:c r="W621" s="32"/>
      <x:c r="X621" s="32"/>
      <x:c r="Y621" s="43" t="str">
        <x:f>IF(OR(X621="",X621="Pending"),"",IF(X621="Rejected",0,IF(AND(U621="Ya",V621="Ya",W621="Ya"),1,"")))</x:f>
      </x:c>
      <x:c r="AA621" s="32"/>
      <x:c r="AB621" s="32"/>
      <x:c r="AC621" s="32"/>
      <x:c r="AD621" s="32"/>
      <x:c r="AE621" s="32"/>
      <x:c r="AF621" s="32"/>
      <x:c r="AG621" s="33" t="str">
        <x:f>IF(OR(AE621="",AF621=""),"",IF(AE621="Positif",IF(AF621="Positif","TP","FN"),IF(AF621="Positif","FP","TN")))</x:f>
      </x:c>
    </x:row>
    <x:row r="622">
      <x:c r="A622" s="32"/>
      <x:c r="B622" s="32"/>
      <x:c r="C622" s="32"/>
      <x:c r="D622" s="35"/>
      <x:c r="E622" s="32"/>
      <x:c r="F622" s="32"/>
      <x:c r="G622" s="32"/>
      <x:c r="H622" s="32"/>
      <x:c r="I622" s="32"/>
      <x:c r="J622" s="32"/>
      <x:c r="K622" s="32"/>
      <x:c r="L622" s="32"/>
      <x:c r="M622" s="32"/>
      <x:c r="N622" s="37"/>
      <x:c r="O622" s="32"/>
      <x:c r="P622" s="40"/>
      <x:c r="Q622" s="40"/>
      <x:c r="R622" s="41" t="str">
        <x:f>IF(OR(P622="",Q622=""),"",P622-Q622)</x:f>
      </x:c>
      <x:c r="S622" s="32"/>
      <x:c r="T622" s="32"/>
      <x:c r="U622" s="32"/>
      <x:c r="V622" s="32"/>
      <x:c r="W622" s="32"/>
      <x:c r="X622" s="32"/>
      <x:c r="Y622" s="43" t="str">
        <x:f>IF(OR(X622="",X622="Pending"),"",IF(X622="Rejected",0,IF(AND(U622="Ya",V622="Ya",W622="Ya"),1,"")))</x:f>
      </x:c>
      <x:c r="AA622" s="32"/>
      <x:c r="AB622" s="32"/>
      <x:c r="AC622" s="32"/>
      <x:c r="AD622" s="32"/>
      <x:c r="AE622" s="32"/>
      <x:c r="AF622" s="32"/>
      <x:c r="AG622" s="33" t="str">
        <x:f>IF(OR(AE622="",AF622=""),"",IF(AE622="Positif",IF(AF622="Positif","TP","FN"),IF(AF622="Positif","FP","TN")))</x:f>
      </x:c>
    </x:row>
    <x:row r="623">
      <x:c r="A623" s="32"/>
      <x:c r="B623" s="32"/>
      <x:c r="C623" s="32"/>
      <x:c r="D623" s="35"/>
      <x:c r="E623" s="32"/>
      <x:c r="F623" s="32"/>
      <x:c r="G623" s="32"/>
      <x:c r="H623" s="32"/>
      <x:c r="I623" s="32"/>
      <x:c r="J623" s="32"/>
      <x:c r="K623" s="32"/>
      <x:c r="L623" s="32"/>
      <x:c r="M623" s="32"/>
      <x:c r="N623" s="37"/>
      <x:c r="O623" s="32"/>
      <x:c r="P623" s="40"/>
      <x:c r="Q623" s="40"/>
      <x:c r="R623" s="41" t="str">
        <x:f>IF(OR(P623="",Q623=""),"",P623-Q623)</x:f>
      </x:c>
      <x:c r="S623" s="32"/>
      <x:c r="T623" s="32"/>
      <x:c r="U623" s="32"/>
      <x:c r="V623" s="32"/>
      <x:c r="W623" s="32"/>
      <x:c r="X623" s="32"/>
      <x:c r="Y623" s="43" t="str">
        <x:f>IF(OR(X623="",X623="Pending"),"",IF(X623="Rejected",0,IF(AND(U623="Ya",V623="Ya",W623="Ya"),1,"")))</x:f>
      </x:c>
      <x:c r="AA623" s="32"/>
      <x:c r="AB623" s="32"/>
      <x:c r="AC623" s="32"/>
      <x:c r="AD623" s="32"/>
      <x:c r="AE623" s="32"/>
      <x:c r="AF623" s="32"/>
      <x:c r="AG623" s="33" t="str">
        <x:f>IF(OR(AE623="",AF623=""),"",IF(AE623="Positif",IF(AF623="Positif","TP","FN"),IF(AF623="Positif","FP","TN")))</x:f>
      </x:c>
    </x:row>
    <x:row r="624">
      <x:c r="A624" s="32"/>
      <x:c r="B624" s="32"/>
      <x:c r="C624" s="32"/>
      <x:c r="D624" s="35"/>
      <x:c r="E624" s="32"/>
      <x:c r="F624" s="32"/>
      <x:c r="G624" s="32"/>
      <x:c r="H624" s="32"/>
      <x:c r="I624" s="32"/>
      <x:c r="J624" s="32"/>
      <x:c r="K624" s="32"/>
      <x:c r="L624" s="32"/>
      <x:c r="M624" s="32"/>
      <x:c r="N624" s="37"/>
      <x:c r="O624" s="32"/>
      <x:c r="P624" s="40"/>
      <x:c r="Q624" s="40"/>
      <x:c r="R624" s="41" t="str">
        <x:f>IF(OR(P624="",Q624=""),"",P624-Q624)</x:f>
      </x:c>
      <x:c r="S624" s="32"/>
      <x:c r="T624" s="32"/>
      <x:c r="U624" s="32"/>
      <x:c r="V624" s="32"/>
      <x:c r="W624" s="32"/>
      <x:c r="X624" s="32"/>
      <x:c r="Y624" s="43" t="str">
        <x:f>IF(OR(X624="",X624="Pending"),"",IF(X624="Rejected",0,IF(AND(U624="Ya",V624="Ya",W624="Ya"),1,"")))</x:f>
      </x:c>
      <x:c r="AA624" s="32"/>
      <x:c r="AB624" s="32"/>
      <x:c r="AC624" s="32"/>
      <x:c r="AD624" s="32"/>
      <x:c r="AE624" s="32"/>
      <x:c r="AF624" s="32"/>
      <x:c r="AG624" s="33" t="str">
        <x:f>IF(OR(AE624="",AF624=""),"",IF(AE624="Positif",IF(AF624="Positif","TP","FN"),IF(AF624="Positif","FP","TN")))</x:f>
      </x:c>
    </x:row>
    <x:row r="625">
      <x:c r="A625" s="32"/>
      <x:c r="B625" s="32"/>
      <x:c r="C625" s="32"/>
      <x:c r="D625" s="35"/>
      <x:c r="E625" s="32"/>
      <x:c r="F625" s="32"/>
      <x:c r="G625" s="32"/>
      <x:c r="H625" s="32"/>
      <x:c r="I625" s="32"/>
      <x:c r="J625" s="32"/>
      <x:c r="K625" s="32"/>
      <x:c r="L625" s="32"/>
      <x:c r="M625" s="32"/>
      <x:c r="N625" s="37"/>
      <x:c r="O625" s="32"/>
      <x:c r="P625" s="40"/>
      <x:c r="Q625" s="40"/>
      <x:c r="R625" s="41" t="str">
        <x:f>IF(OR(P625="",Q625=""),"",P625-Q625)</x:f>
      </x:c>
      <x:c r="S625" s="32"/>
      <x:c r="T625" s="32"/>
      <x:c r="U625" s="32"/>
      <x:c r="V625" s="32"/>
      <x:c r="W625" s="32"/>
      <x:c r="X625" s="32"/>
      <x:c r="Y625" s="43" t="str">
        <x:f>IF(OR(X625="",X625="Pending"),"",IF(X625="Rejected",0,IF(AND(U625="Ya",V625="Ya",W625="Ya"),1,"")))</x:f>
      </x:c>
      <x:c r="AA625" s="32"/>
      <x:c r="AB625" s="32"/>
      <x:c r="AC625" s="32"/>
      <x:c r="AD625" s="32"/>
      <x:c r="AE625" s="32"/>
      <x:c r="AF625" s="32"/>
      <x:c r="AG625" s="33" t="str">
        <x:f>IF(OR(AE625="",AF625=""),"",IF(AE625="Positif",IF(AF625="Positif","TP","FN"),IF(AF625="Positif","FP","TN")))</x:f>
      </x:c>
    </x:row>
    <x:row r="626">
      <x:c r="A626" s="32"/>
      <x:c r="B626" s="32"/>
      <x:c r="C626" s="32"/>
      <x:c r="D626" s="35"/>
      <x:c r="E626" s="32"/>
      <x:c r="F626" s="32"/>
      <x:c r="G626" s="32"/>
      <x:c r="H626" s="32"/>
      <x:c r="I626" s="32"/>
      <x:c r="J626" s="32"/>
      <x:c r="K626" s="32"/>
      <x:c r="L626" s="32"/>
      <x:c r="M626" s="32"/>
      <x:c r="N626" s="37"/>
      <x:c r="O626" s="32"/>
      <x:c r="P626" s="40"/>
      <x:c r="Q626" s="40"/>
      <x:c r="R626" s="41" t="str">
        <x:f>IF(OR(P626="",Q626=""),"",P626-Q626)</x:f>
      </x:c>
      <x:c r="S626" s="32"/>
      <x:c r="T626" s="32"/>
      <x:c r="U626" s="32"/>
      <x:c r="V626" s="32"/>
      <x:c r="W626" s="32"/>
      <x:c r="X626" s="32"/>
      <x:c r="Y626" s="43" t="str">
        <x:f>IF(OR(X626="",X626="Pending"),"",IF(X626="Rejected",0,IF(AND(U626="Ya",V626="Ya",W626="Ya"),1,"")))</x:f>
      </x:c>
      <x:c r="AA626" s="32"/>
      <x:c r="AB626" s="32"/>
      <x:c r="AC626" s="32"/>
      <x:c r="AD626" s="32"/>
      <x:c r="AE626" s="32"/>
      <x:c r="AF626" s="32"/>
      <x:c r="AG626" s="33" t="str">
        <x:f>IF(OR(AE626="",AF626=""),"",IF(AE626="Positif",IF(AF626="Positif","TP","FN"),IF(AF626="Positif","FP","TN")))</x:f>
      </x:c>
    </x:row>
    <x:row r="627">
      <x:c r="A627" s="32"/>
      <x:c r="B627" s="32"/>
      <x:c r="C627" s="32"/>
      <x:c r="D627" s="35"/>
      <x:c r="E627" s="32"/>
      <x:c r="F627" s="32"/>
      <x:c r="G627" s="32"/>
      <x:c r="H627" s="32"/>
      <x:c r="I627" s="32"/>
      <x:c r="J627" s="32"/>
      <x:c r="K627" s="32"/>
      <x:c r="L627" s="32"/>
      <x:c r="M627" s="32"/>
      <x:c r="N627" s="37"/>
      <x:c r="O627" s="32"/>
      <x:c r="P627" s="40"/>
      <x:c r="Q627" s="40"/>
      <x:c r="R627" s="41" t="str">
        <x:f>IF(OR(P627="",Q627=""),"",P627-Q627)</x:f>
      </x:c>
      <x:c r="S627" s="32"/>
      <x:c r="T627" s="32"/>
      <x:c r="U627" s="32"/>
      <x:c r="V627" s="32"/>
      <x:c r="W627" s="32"/>
      <x:c r="X627" s="32"/>
      <x:c r="Y627" s="43" t="str">
        <x:f>IF(OR(X627="",X627="Pending"),"",IF(X627="Rejected",0,IF(AND(U627="Ya",V627="Ya",W627="Ya"),1,"")))</x:f>
      </x:c>
      <x:c r="AA627" s="32"/>
      <x:c r="AB627" s="32"/>
      <x:c r="AC627" s="32"/>
      <x:c r="AD627" s="32"/>
      <x:c r="AE627" s="32"/>
      <x:c r="AF627" s="32"/>
      <x:c r="AG627" s="33" t="str">
        <x:f>IF(OR(AE627="",AF627=""),"",IF(AE627="Positif",IF(AF627="Positif","TP","FN"),IF(AF627="Positif","FP","TN")))</x:f>
      </x:c>
    </x:row>
    <x:row r="628">
      <x:c r="A628" s="32"/>
      <x:c r="B628" s="32"/>
      <x:c r="C628" s="32"/>
      <x:c r="D628" s="35"/>
      <x:c r="E628" s="32"/>
      <x:c r="F628" s="32"/>
      <x:c r="G628" s="32"/>
      <x:c r="H628" s="32"/>
      <x:c r="I628" s="32"/>
      <x:c r="J628" s="32"/>
      <x:c r="K628" s="32"/>
      <x:c r="L628" s="32"/>
      <x:c r="M628" s="32"/>
      <x:c r="N628" s="37"/>
      <x:c r="O628" s="32"/>
      <x:c r="P628" s="40"/>
      <x:c r="Q628" s="40"/>
      <x:c r="R628" s="41" t="str">
        <x:f>IF(OR(P628="",Q628=""),"",P628-Q628)</x:f>
      </x:c>
      <x:c r="S628" s="32"/>
      <x:c r="T628" s="32"/>
      <x:c r="U628" s="32"/>
      <x:c r="V628" s="32"/>
      <x:c r="W628" s="32"/>
      <x:c r="X628" s="32"/>
      <x:c r="Y628" s="43" t="str">
        <x:f>IF(OR(X628="",X628="Pending"),"",IF(X628="Rejected",0,IF(AND(U628="Ya",V628="Ya",W628="Ya"),1,"")))</x:f>
      </x:c>
      <x:c r="AA628" s="32"/>
      <x:c r="AB628" s="32"/>
      <x:c r="AC628" s="32"/>
      <x:c r="AD628" s="32"/>
      <x:c r="AE628" s="32"/>
      <x:c r="AF628" s="32"/>
      <x:c r="AG628" s="33" t="str">
        <x:f>IF(OR(AE628="",AF628=""),"",IF(AE628="Positif",IF(AF628="Positif","TP","FN"),IF(AF628="Positif","FP","TN")))</x:f>
      </x:c>
    </x:row>
    <x:row r="629">
      <x:c r="A629" s="32"/>
      <x:c r="B629" s="32"/>
      <x:c r="C629" s="32"/>
      <x:c r="D629" s="35"/>
      <x:c r="E629" s="32"/>
      <x:c r="F629" s="32"/>
      <x:c r="G629" s="32"/>
      <x:c r="H629" s="32"/>
      <x:c r="I629" s="32"/>
      <x:c r="J629" s="32"/>
      <x:c r="K629" s="32"/>
      <x:c r="L629" s="32"/>
      <x:c r="M629" s="32"/>
      <x:c r="N629" s="37"/>
      <x:c r="O629" s="32"/>
      <x:c r="P629" s="40"/>
      <x:c r="Q629" s="40"/>
      <x:c r="R629" s="41" t="str">
        <x:f>IF(OR(P629="",Q629=""),"",P629-Q629)</x:f>
      </x:c>
      <x:c r="S629" s="32"/>
      <x:c r="T629" s="32"/>
      <x:c r="U629" s="32"/>
      <x:c r="V629" s="32"/>
      <x:c r="W629" s="32"/>
      <x:c r="X629" s="32"/>
      <x:c r="Y629" s="43" t="str">
        <x:f>IF(OR(X629="",X629="Pending"),"",IF(X629="Rejected",0,IF(AND(U629="Ya",V629="Ya",W629="Ya"),1,"")))</x:f>
      </x:c>
      <x:c r="AA629" s="32"/>
      <x:c r="AB629" s="32"/>
      <x:c r="AC629" s="32"/>
      <x:c r="AD629" s="32"/>
      <x:c r="AE629" s="32"/>
      <x:c r="AF629" s="32"/>
      <x:c r="AG629" s="33" t="str">
        <x:f>IF(OR(AE629="",AF629=""),"",IF(AE629="Positif",IF(AF629="Positif","TP","FN"),IF(AF629="Positif","FP","TN")))</x:f>
      </x:c>
    </x:row>
    <x:row r="630">
      <x:c r="A630" s="32"/>
      <x:c r="B630" s="32"/>
      <x:c r="C630" s="32"/>
      <x:c r="D630" s="35"/>
      <x:c r="E630" s="32"/>
      <x:c r="F630" s="32"/>
      <x:c r="G630" s="32"/>
      <x:c r="H630" s="32"/>
      <x:c r="I630" s="32"/>
      <x:c r="J630" s="32"/>
      <x:c r="K630" s="32"/>
      <x:c r="L630" s="32"/>
      <x:c r="M630" s="32"/>
      <x:c r="N630" s="37"/>
      <x:c r="O630" s="32"/>
      <x:c r="P630" s="40"/>
      <x:c r="Q630" s="40"/>
      <x:c r="R630" s="41" t="str">
        <x:f>IF(OR(P630="",Q630=""),"",P630-Q630)</x:f>
      </x:c>
      <x:c r="S630" s="32"/>
      <x:c r="T630" s="32"/>
      <x:c r="U630" s="32"/>
      <x:c r="V630" s="32"/>
      <x:c r="W630" s="32"/>
      <x:c r="X630" s="32"/>
      <x:c r="Y630" s="43" t="str">
        <x:f>IF(OR(X630="",X630="Pending"),"",IF(X630="Rejected",0,IF(AND(U630="Ya",V630="Ya",W630="Ya"),1,"")))</x:f>
      </x:c>
      <x:c r="AA630" s="32"/>
      <x:c r="AB630" s="32"/>
      <x:c r="AC630" s="32"/>
      <x:c r="AD630" s="32"/>
      <x:c r="AE630" s="32"/>
      <x:c r="AF630" s="32"/>
      <x:c r="AG630" s="33" t="str">
        <x:f>IF(OR(AE630="",AF630=""),"",IF(AE630="Positif",IF(AF630="Positif","TP","FN"),IF(AF630="Positif","FP","TN")))</x:f>
      </x:c>
    </x:row>
    <x:row r="631">
      <x:c r="A631" s="32"/>
      <x:c r="B631" s="32"/>
      <x:c r="C631" s="32"/>
      <x:c r="D631" s="35"/>
      <x:c r="E631" s="32"/>
      <x:c r="F631" s="32"/>
      <x:c r="G631" s="32"/>
      <x:c r="H631" s="32"/>
      <x:c r="I631" s="32"/>
      <x:c r="J631" s="32"/>
      <x:c r="K631" s="32"/>
      <x:c r="L631" s="32"/>
      <x:c r="M631" s="32"/>
      <x:c r="N631" s="37"/>
      <x:c r="O631" s="32"/>
      <x:c r="P631" s="40"/>
      <x:c r="Q631" s="40"/>
      <x:c r="R631" s="41" t="str">
        <x:f>IF(OR(P631="",Q631=""),"",P631-Q631)</x:f>
      </x:c>
      <x:c r="S631" s="32"/>
      <x:c r="T631" s="32"/>
      <x:c r="U631" s="32"/>
      <x:c r="V631" s="32"/>
      <x:c r="W631" s="32"/>
      <x:c r="X631" s="32"/>
      <x:c r="Y631" s="43" t="str">
        <x:f>IF(OR(X631="",X631="Pending"),"",IF(X631="Rejected",0,IF(AND(U631="Ya",V631="Ya",W631="Ya"),1,"")))</x:f>
      </x:c>
      <x:c r="AA631" s="32"/>
      <x:c r="AB631" s="32"/>
      <x:c r="AC631" s="32"/>
      <x:c r="AD631" s="32"/>
      <x:c r="AE631" s="32"/>
      <x:c r="AF631" s="32"/>
      <x:c r="AG631" s="33" t="str">
        <x:f>IF(OR(AE631="",AF631=""),"",IF(AE631="Positif",IF(AF631="Positif","TP","FN"),IF(AF631="Positif","FP","TN")))</x:f>
      </x:c>
    </x:row>
    <x:row r="632">
      <x:c r="A632" s="32"/>
      <x:c r="B632" s="32"/>
      <x:c r="C632" s="32"/>
      <x:c r="D632" s="35"/>
      <x:c r="E632" s="32"/>
      <x:c r="F632" s="32"/>
      <x:c r="G632" s="32"/>
      <x:c r="H632" s="32"/>
      <x:c r="I632" s="32"/>
      <x:c r="J632" s="32"/>
      <x:c r="K632" s="32"/>
      <x:c r="L632" s="32"/>
      <x:c r="M632" s="32"/>
      <x:c r="N632" s="37"/>
      <x:c r="O632" s="32"/>
      <x:c r="P632" s="40"/>
      <x:c r="Q632" s="40"/>
      <x:c r="R632" s="41" t="str">
        <x:f>IF(OR(P632="",Q632=""),"",P632-Q632)</x:f>
      </x:c>
      <x:c r="S632" s="32"/>
      <x:c r="T632" s="32"/>
      <x:c r="U632" s="32"/>
      <x:c r="V632" s="32"/>
      <x:c r="W632" s="32"/>
      <x:c r="X632" s="32"/>
      <x:c r="Y632" s="43" t="str">
        <x:f>IF(OR(X632="",X632="Pending"),"",IF(X632="Rejected",0,IF(AND(U632="Ya",V632="Ya",W632="Ya"),1,"")))</x:f>
      </x:c>
      <x:c r="AA632" s="32"/>
      <x:c r="AB632" s="32"/>
      <x:c r="AC632" s="32"/>
      <x:c r="AD632" s="32"/>
      <x:c r="AE632" s="32"/>
      <x:c r="AF632" s="32"/>
      <x:c r="AG632" s="33" t="str">
        <x:f>IF(OR(AE632="",AF632=""),"",IF(AE632="Positif",IF(AF632="Positif","TP","FN"),IF(AF632="Positif","FP","TN")))</x:f>
      </x:c>
    </x:row>
    <x:row r="633">
      <x:c r="A633" s="32"/>
      <x:c r="B633" s="32"/>
      <x:c r="C633" s="32"/>
      <x:c r="D633" s="35"/>
      <x:c r="E633" s="32"/>
      <x:c r="F633" s="32"/>
      <x:c r="G633" s="32"/>
      <x:c r="H633" s="32"/>
      <x:c r="I633" s="32"/>
      <x:c r="J633" s="32"/>
      <x:c r="K633" s="32"/>
      <x:c r="L633" s="32"/>
      <x:c r="M633" s="32"/>
      <x:c r="N633" s="37"/>
      <x:c r="O633" s="32"/>
      <x:c r="P633" s="40"/>
      <x:c r="Q633" s="40"/>
      <x:c r="R633" s="41" t="str">
        <x:f>IF(OR(P633="",Q633=""),"",P633-Q633)</x:f>
      </x:c>
      <x:c r="S633" s="32"/>
      <x:c r="T633" s="32"/>
      <x:c r="U633" s="32"/>
      <x:c r="V633" s="32"/>
      <x:c r="W633" s="32"/>
      <x:c r="X633" s="32"/>
      <x:c r="Y633" s="43" t="str">
        <x:f>IF(OR(X633="",X633="Pending"),"",IF(X633="Rejected",0,IF(AND(U633="Ya",V633="Ya",W633="Ya"),1,"")))</x:f>
      </x:c>
      <x:c r="AA633" s="32"/>
      <x:c r="AB633" s="32"/>
      <x:c r="AC633" s="32"/>
      <x:c r="AD633" s="32"/>
      <x:c r="AE633" s="32"/>
      <x:c r="AF633" s="32"/>
      <x:c r="AG633" s="33" t="str">
        <x:f>IF(OR(AE633="",AF633=""),"",IF(AE633="Positif",IF(AF633="Positif","TP","FN"),IF(AF633="Positif","FP","TN")))</x:f>
      </x:c>
    </x:row>
    <x:row r="634">
      <x:c r="A634" s="32"/>
      <x:c r="B634" s="32"/>
      <x:c r="C634" s="32"/>
      <x:c r="D634" s="35"/>
      <x:c r="E634" s="32"/>
      <x:c r="F634" s="32"/>
      <x:c r="G634" s="32"/>
      <x:c r="H634" s="32"/>
      <x:c r="I634" s="32"/>
      <x:c r="J634" s="32"/>
      <x:c r="K634" s="32"/>
      <x:c r="L634" s="32"/>
      <x:c r="M634" s="32"/>
      <x:c r="N634" s="37"/>
      <x:c r="O634" s="32"/>
      <x:c r="P634" s="40"/>
      <x:c r="Q634" s="40"/>
      <x:c r="R634" s="41" t="str">
        <x:f>IF(OR(P634="",Q634=""),"",P634-Q634)</x:f>
      </x:c>
      <x:c r="S634" s="32"/>
      <x:c r="T634" s="32"/>
      <x:c r="U634" s="32"/>
      <x:c r="V634" s="32"/>
      <x:c r="W634" s="32"/>
      <x:c r="X634" s="32"/>
      <x:c r="Y634" s="43" t="str">
        <x:f>IF(OR(X634="",X634="Pending"),"",IF(X634="Rejected",0,IF(AND(U634="Ya",V634="Ya",W634="Ya"),1,"")))</x:f>
      </x:c>
      <x:c r="AA634" s="32"/>
      <x:c r="AB634" s="32"/>
      <x:c r="AC634" s="32"/>
      <x:c r="AD634" s="32"/>
      <x:c r="AE634" s="32"/>
      <x:c r="AF634" s="32"/>
      <x:c r="AG634" s="33" t="str">
        <x:f>IF(OR(AE634="",AF634=""),"",IF(AE634="Positif",IF(AF634="Positif","TP","FN"),IF(AF634="Positif","FP","TN")))</x:f>
      </x:c>
    </x:row>
    <x:row r="635">
      <x:c r="A635" s="32"/>
      <x:c r="B635" s="32"/>
      <x:c r="C635" s="32"/>
      <x:c r="D635" s="35"/>
      <x:c r="E635" s="32"/>
      <x:c r="F635" s="32"/>
      <x:c r="G635" s="32"/>
      <x:c r="H635" s="32"/>
      <x:c r="I635" s="32"/>
      <x:c r="J635" s="32"/>
      <x:c r="K635" s="32"/>
      <x:c r="L635" s="32"/>
      <x:c r="M635" s="32"/>
      <x:c r="N635" s="37"/>
      <x:c r="O635" s="32"/>
      <x:c r="P635" s="40"/>
      <x:c r="Q635" s="40"/>
      <x:c r="R635" s="41" t="str">
        <x:f>IF(OR(P635="",Q635=""),"",P635-Q635)</x:f>
      </x:c>
      <x:c r="S635" s="32"/>
      <x:c r="T635" s="32"/>
      <x:c r="U635" s="32"/>
      <x:c r="V635" s="32"/>
      <x:c r="W635" s="32"/>
      <x:c r="X635" s="32"/>
      <x:c r="Y635" s="43" t="str">
        <x:f>IF(OR(X635="",X635="Pending"),"",IF(X635="Rejected",0,IF(AND(U635="Ya",V635="Ya",W635="Ya"),1,"")))</x:f>
      </x:c>
      <x:c r="AA635" s="32"/>
      <x:c r="AB635" s="32"/>
      <x:c r="AC635" s="32"/>
      <x:c r="AD635" s="32"/>
      <x:c r="AE635" s="32"/>
      <x:c r="AF635" s="32"/>
      <x:c r="AG635" s="33" t="str">
        <x:f>IF(OR(AE635="",AF635=""),"",IF(AE635="Positif",IF(AF635="Positif","TP","FN"),IF(AF635="Positif","FP","TN")))</x:f>
      </x:c>
    </x:row>
    <x:row r="636">
      <x:c r="A636" s="32"/>
      <x:c r="B636" s="32"/>
      <x:c r="C636" s="32"/>
      <x:c r="D636" s="35"/>
      <x:c r="E636" s="32"/>
      <x:c r="F636" s="32"/>
      <x:c r="G636" s="32"/>
      <x:c r="H636" s="32"/>
      <x:c r="I636" s="32"/>
      <x:c r="J636" s="32"/>
      <x:c r="K636" s="32"/>
      <x:c r="L636" s="32"/>
      <x:c r="M636" s="32"/>
      <x:c r="N636" s="37"/>
      <x:c r="O636" s="32"/>
      <x:c r="P636" s="40"/>
      <x:c r="Q636" s="40"/>
      <x:c r="R636" s="41" t="str">
        <x:f>IF(OR(P636="",Q636=""),"",P636-Q636)</x:f>
      </x:c>
      <x:c r="S636" s="32"/>
      <x:c r="T636" s="32"/>
      <x:c r="U636" s="32"/>
      <x:c r="V636" s="32"/>
      <x:c r="W636" s="32"/>
      <x:c r="X636" s="32"/>
      <x:c r="Y636" s="43" t="str">
        <x:f>IF(OR(X636="",X636="Pending"),"",IF(X636="Rejected",0,IF(AND(U636="Ya",V636="Ya",W636="Ya"),1,"")))</x:f>
      </x:c>
      <x:c r="AA636" s="32"/>
      <x:c r="AB636" s="32"/>
      <x:c r="AC636" s="32"/>
      <x:c r="AD636" s="32"/>
      <x:c r="AE636" s="32"/>
      <x:c r="AF636" s="32"/>
      <x:c r="AG636" s="33" t="str">
        <x:f>IF(OR(AE636="",AF636=""),"",IF(AE636="Positif",IF(AF636="Positif","TP","FN"),IF(AF636="Positif","FP","TN")))</x:f>
      </x:c>
    </x:row>
    <x:row r="637">
      <x:c r="A637" s="32"/>
      <x:c r="B637" s="32"/>
      <x:c r="C637" s="32"/>
      <x:c r="D637" s="35"/>
      <x:c r="E637" s="32"/>
      <x:c r="F637" s="32"/>
      <x:c r="G637" s="32"/>
      <x:c r="H637" s="32"/>
      <x:c r="I637" s="32"/>
      <x:c r="J637" s="32"/>
      <x:c r="K637" s="32"/>
      <x:c r="L637" s="32"/>
      <x:c r="M637" s="32"/>
      <x:c r="N637" s="37"/>
      <x:c r="O637" s="32"/>
      <x:c r="P637" s="40"/>
      <x:c r="Q637" s="40"/>
      <x:c r="R637" s="41" t="str">
        <x:f>IF(OR(P637="",Q637=""),"",P637-Q637)</x:f>
      </x:c>
      <x:c r="S637" s="32"/>
      <x:c r="T637" s="32"/>
      <x:c r="U637" s="32"/>
      <x:c r="V637" s="32"/>
      <x:c r="W637" s="32"/>
      <x:c r="X637" s="32"/>
      <x:c r="Y637" s="43" t="str">
        <x:f>IF(OR(X637="",X637="Pending"),"",IF(X637="Rejected",0,IF(AND(U637="Ya",V637="Ya",W637="Ya"),1,"")))</x:f>
      </x:c>
      <x:c r="AA637" s="32"/>
      <x:c r="AB637" s="32"/>
      <x:c r="AC637" s="32"/>
      <x:c r="AD637" s="32"/>
      <x:c r="AE637" s="32"/>
      <x:c r="AF637" s="32"/>
      <x:c r="AG637" s="33" t="str">
        <x:f>IF(OR(AE637="",AF637=""),"",IF(AE637="Positif",IF(AF637="Positif","TP","FN"),IF(AF637="Positif","FP","TN")))</x:f>
      </x:c>
    </x:row>
    <x:row r="638">
      <x:c r="A638" s="32"/>
      <x:c r="B638" s="32"/>
      <x:c r="C638" s="32"/>
      <x:c r="D638" s="35"/>
      <x:c r="E638" s="32"/>
      <x:c r="F638" s="32"/>
      <x:c r="G638" s="32"/>
      <x:c r="H638" s="32"/>
      <x:c r="I638" s="32"/>
      <x:c r="J638" s="32"/>
      <x:c r="K638" s="32"/>
      <x:c r="L638" s="32"/>
      <x:c r="M638" s="32"/>
      <x:c r="N638" s="37"/>
      <x:c r="O638" s="32"/>
      <x:c r="P638" s="40"/>
      <x:c r="Q638" s="40"/>
      <x:c r="R638" s="41" t="str">
        <x:f>IF(OR(P638="",Q638=""),"",P638-Q638)</x:f>
      </x:c>
      <x:c r="S638" s="32"/>
      <x:c r="T638" s="32"/>
      <x:c r="U638" s="32"/>
      <x:c r="V638" s="32"/>
      <x:c r="W638" s="32"/>
      <x:c r="X638" s="32"/>
      <x:c r="Y638" s="43" t="str">
        <x:f>IF(OR(X638="",X638="Pending"),"",IF(X638="Rejected",0,IF(AND(U638="Ya",V638="Ya",W638="Ya"),1,"")))</x:f>
      </x:c>
      <x:c r="AA638" s="32"/>
      <x:c r="AB638" s="32"/>
      <x:c r="AC638" s="32"/>
      <x:c r="AD638" s="32"/>
      <x:c r="AE638" s="32"/>
      <x:c r="AF638" s="32"/>
      <x:c r="AG638" s="33" t="str">
        <x:f>IF(OR(AE638="",AF638=""),"",IF(AE638="Positif",IF(AF638="Positif","TP","FN"),IF(AF638="Positif","FP","TN")))</x:f>
      </x:c>
    </x:row>
    <x:row r="639">
      <x:c r="A639" s="32"/>
      <x:c r="B639" s="32"/>
      <x:c r="C639" s="32"/>
      <x:c r="D639" s="35"/>
      <x:c r="E639" s="32"/>
      <x:c r="F639" s="32"/>
      <x:c r="G639" s="32"/>
      <x:c r="H639" s="32"/>
      <x:c r="I639" s="32"/>
      <x:c r="J639" s="32"/>
      <x:c r="K639" s="32"/>
      <x:c r="L639" s="32"/>
      <x:c r="M639" s="32"/>
      <x:c r="N639" s="37"/>
      <x:c r="O639" s="32"/>
      <x:c r="P639" s="40"/>
      <x:c r="Q639" s="40"/>
      <x:c r="R639" s="41" t="str">
        <x:f>IF(OR(P639="",Q639=""),"",P639-Q639)</x:f>
      </x:c>
      <x:c r="S639" s="32"/>
      <x:c r="T639" s="32"/>
      <x:c r="U639" s="32"/>
      <x:c r="V639" s="32"/>
      <x:c r="W639" s="32"/>
      <x:c r="X639" s="32"/>
      <x:c r="Y639" s="43" t="str">
        <x:f>IF(OR(X639="",X639="Pending"),"",IF(X639="Rejected",0,IF(AND(U639="Ya",V639="Ya",W639="Ya"),1,"")))</x:f>
      </x:c>
      <x:c r="AA639" s="32"/>
      <x:c r="AB639" s="32"/>
      <x:c r="AC639" s="32"/>
      <x:c r="AD639" s="32"/>
      <x:c r="AE639" s="32"/>
      <x:c r="AF639" s="32"/>
      <x:c r="AG639" s="33" t="str">
        <x:f>IF(OR(AE639="",AF639=""),"",IF(AE639="Positif",IF(AF639="Positif","TP","FN"),IF(AF639="Positif","FP","TN")))</x:f>
      </x:c>
    </x:row>
    <x:row r="640">
      <x:c r="A640" s="32"/>
      <x:c r="B640" s="32"/>
      <x:c r="C640" s="32"/>
      <x:c r="D640" s="35"/>
      <x:c r="E640" s="32"/>
      <x:c r="F640" s="32"/>
      <x:c r="G640" s="32"/>
      <x:c r="H640" s="32"/>
      <x:c r="I640" s="32"/>
      <x:c r="J640" s="32"/>
      <x:c r="K640" s="32"/>
      <x:c r="L640" s="32"/>
      <x:c r="M640" s="32"/>
      <x:c r="N640" s="37"/>
      <x:c r="O640" s="32"/>
      <x:c r="P640" s="40"/>
      <x:c r="Q640" s="40"/>
      <x:c r="R640" s="41" t="str">
        <x:f>IF(OR(P640="",Q640=""),"",P640-Q640)</x:f>
      </x:c>
      <x:c r="S640" s="32"/>
      <x:c r="T640" s="32"/>
      <x:c r="U640" s="32"/>
      <x:c r="V640" s="32"/>
      <x:c r="W640" s="32"/>
      <x:c r="X640" s="32"/>
      <x:c r="Y640" s="43" t="str">
        <x:f>IF(OR(X640="",X640="Pending"),"",IF(X640="Rejected",0,IF(AND(U640="Ya",V640="Ya",W640="Ya"),1,"")))</x:f>
      </x:c>
      <x:c r="AA640" s="32"/>
      <x:c r="AB640" s="32"/>
      <x:c r="AC640" s="32"/>
      <x:c r="AD640" s="32"/>
      <x:c r="AE640" s="32"/>
      <x:c r="AF640" s="32"/>
      <x:c r="AG640" s="33" t="str">
        <x:f>IF(OR(AE640="",AF640=""),"",IF(AE640="Positif",IF(AF640="Positif","TP","FN"),IF(AF640="Positif","FP","TN")))</x:f>
      </x:c>
    </x:row>
    <x:row r="641">
      <x:c r="A641" s="32"/>
      <x:c r="B641" s="32"/>
      <x:c r="C641" s="32"/>
      <x:c r="D641" s="35"/>
      <x:c r="E641" s="32"/>
      <x:c r="F641" s="32"/>
      <x:c r="G641" s="32"/>
      <x:c r="H641" s="32"/>
      <x:c r="I641" s="32"/>
      <x:c r="J641" s="32"/>
      <x:c r="K641" s="32"/>
      <x:c r="L641" s="32"/>
      <x:c r="M641" s="32"/>
      <x:c r="N641" s="37"/>
      <x:c r="O641" s="32"/>
      <x:c r="P641" s="40"/>
      <x:c r="Q641" s="40"/>
      <x:c r="R641" s="41" t="str">
        <x:f>IF(OR(P641="",Q641=""),"",P641-Q641)</x:f>
      </x:c>
      <x:c r="S641" s="32"/>
      <x:c r="T641" s="32"/>
      <x:c r="U641" s="32"/>
      <x:c r="V641" s="32"/>
      <x:c r="W641" s="32"/>
      <x:c r="X641" s="32"/>
      <x:c r="Y641" s="43" t="str">
        <x:f>IF(OR(X641="",X641="Pending"),"",IF(X641="Rejected",0,IF(AND(U641="Ya",V641="Ya",W641="Ya"),1,"")))</x:f>
      </x:c>
      <x:c r="AA641" s="32"/>
      <x:c r="AB641" s="32"/>
      <x:c r="AC641" s="32"/>
      <x:c r="AD641" s="32"/>
      <x:c r="AE641" s="32"/>
      <x:c r="AF641" s="32"/>
      <x:c r="AG641" s="33" t="str">
        <x:f>IF(OR(AE641="",AF641=""),"",IF(AE641="Positif",IF(AF641="Positif","TP","FN"),IF(AF641="Positif","FP","TN")))</x:f>
      </x:c>
    </x:row>
    <x:row r="642">
      <x:c r="A642" s="32"/>
      <x:c r="B642" s="32"/>
      <x:c r="C642" s="32"/>
      <x:c r="D642" s="35"/>
      <x:c r="E642" s="32"/>
      <x:c r="F642" s="32"/>
      <x:c r="G642" s="32"/>
      <x:c r="H642" s="32"/>
      <x:c r="I642" s="32"/>
      <x:c r="J642" s="32"/>
      <x:c r="K642" s="32"/>
      <x:c r="L642" s="32"/>
      <x:c r="M642" s="32"/>
      <x:c r="N642" s="37"/>
      <x:c r="O642" s="32"/>
      <x:c r="P642" s="40"/>
      <x:c r="Q642" s="40"/>
      <x:c r="R642" s="41" t="str">
        <x:f>IF(OR(P642="",Q642=""),"",P642-Q642)</x:f>
      </x:c>
      <x:c r="S642" s="32"/>
      <x:c r="T642" s="32"/>
      <x:c r="U642" s="32"/>
      <x:c r="V642" s="32"/>
      <x:c r="W642" s="32"/>
      <x:c r="X642" s="32"/>
      <x:c r="Y642" s="43" t="str">
        <x:f>IF(OR(X642="",X642="Pending"),"",IF(X642="Rejected",0,IF(AND(U642="Ya",V642="Ya",W642="Ya"),1,"")))</x:f>
      </x:c>
      <x:c r="AA642" s="32"/>
      <x:c r="AB642" s="32"/>
      <x:c r="AC642" s="32"/>
      <x:c r="AD642" s="32"/>
      <x:c r="AE642" s="32"/>
      <x:c r="AF642" s="32"/>
      <x:c r="AG642" s="33" t="str">
        <x:f>IF(OR(AE642="",AF642=""),"",IF(AE642="Positif",IF(AF642="Positif","TP","FN"),IF(AF642="Positif","FP","TN")))</x:f>
      </x:c>
    </x:row>
    <x:row r="643">
      <x:c r="A643" s="32"/>
      <x:c r="B643" s="32"/>
      <x:c r="C643" s="32"/>
      <x:c r="D643" s="35"/>
      <x:c r="E643" s="32"/>
      <x:c r="F643" s="32"/>
      <x:c r="G643" s="32"/>
      <x:c r="H643" s="32"/>
      <x:c r="I643" s="32"/>
      <x:c r="J643" s="32"/>
      <x:c r="K643" s="32"/>
      <x:c r="L643" s="32"/>
      <x:c r="M643" s="32"/>
      <x:c r="N643" s="37"/>
      <x:c r="O643" s="32"/>
      <x:c r="P643" s="40"/>
      <x:c r="Q643" s="40"/>
      <x:c r="R643" s="41" t="str">
        <x:f>IF(OR(P643="",Q643=""),"",P643-Q643)</x:f>
      </x:c>
      <x:c r="S643" s="32"/>
      <x:c r="T643" s="32"/>
      <x:c r="U643" s="32"/>
      <x:c r="V643" s="32"/>
      <x:c r="W643" s="32"/>
      <x:c r="X643" s="32"/>
      <x:c r="Y643" s="43" t="str">
        <x:f>IF(OR(X643="",X643="Pending"),"",IF(X643="Rejected",0,IF(AND(U643="Ya",V643="Ya",W643="Ya"),1,"")))</x:f>
      </x:c>
      <x:c r="AA643" s="32"/>
      <x:c r="AB643" s="32"/>
      <x:c r="AC643" s="32"/>
      <x:c r="AD643" s="32"/>
      <x:c r="AE643" s="32"/>
      <x:c r="AF643" s="32"/>
      <x:c r="AG643" s="33" t="str">
        <x:f>IF(OR(AE643="",AF643=""),"",IF(AE643="Positif",IF(AF643="Positif","TP","FN"),IF(AF643="Positif","FP","TN")))</x:f>
      </x:c>
    </x:row>
    <x:row r="644">
      <x:c r="A644" s="32"/>
      <x:c r="B644" s="32"/>
      <x:c r="C644" s="32"/>
      <x:c r="D644" s="35"/>
      <x:c r="E644" s="32"/>
      <x:c r="F644" s="32"/>
      <x:c r="G644" s="32"/>
      <x:c r="H644" s="32"/>
      <x:c r="I644" s="32"/>
      <x:c r="J644" s="32"/>
      <x:c r="K644" s="32"/>
      <x:c r="L644" s="32"/>
      <x:c r="M644" s="32"/>
      <x:c r="N644" s="37"/>
      <x:c r="O644" s="32"/>
      <x:c r="P644" s="40"/>
      <x:c r="Q644" s="40"/>
      <x:c r="R644" s="41" t="str">
        <x:f>IF(OR(P644="",Q644=""),"",P644-Q644)</x:f>
      </x:c>
      <x:c r="S644" s="32"/>
      <x:c r="T644" s="32"/>
      <x:c r="U644" s="32"/>
      <x:c r="V644" s="32"/>
      <x:c r="W644" s="32"/>
      <x:c r="X644" s="32"/>
      <x:c r="Y644" s="43" t="str">
        <x:f>IF(OR(X644="",X644="Pending"),"",IF(X644="Rejected",0,IF(AND(U644="Ya",V644="Ya",W644="Ya"),1,"")))</x:f>
      </x:c>
      <x:c r="AA644" s="32"/>
      <x:c r="AB644" s="32"/>
      <x:c r="AC644" s="32"/>
      <x:c r="AD644" s="32"/>
      <x:c r="AE644" s="32"/>
      <x:c r="AF644" s="32"/>
      <x:c r="AG644" s="33" t="str">
        <x:f>IF(OR(AE644="",AF644=""),"",IF(AE644="Positif",IF(AF644="Positif","TP","FN"),IF(AF644="Positif","FP","TN")))</x:f>
      </x:c>
    </x:row>
    <x:row r="645">
      <x:c r="A645" s="32"/>
      <x:c r="B645" s="32"/>
      <x:c r="C645" s="32"/>
      <x:c r="D645" s="35"/>
      <x:c r="E645" s="32"/>
      <x:c r="F645" s="32"/>
      <x:c r="G645" s="32"/>
      <x:c r="H645" s="32"/>
      <x:c r="I645" s="32"/>
      <x:c r="J645" s="32"/>
      <x:c r="K645" s="32"/>
      <x:c r="L645" s="32"/>
      <x:c r="M645" s="32"/>
      <x:c r="N645" s="37"/>
      <x:c r="O645" s="32"/>
      <x:c r="P645" s="40"/>
      <x:c r="Q645" s="40"/>
      <x:c r="R645" s="41" t="str">
        <x:f>IF(OR(P645="",Q645=""),"",P645-Q645)</x:f>
      </x:c>
      <x:c r="S645" s="32"/>
      <x:c r="T645" s="32"/>
      <x:c r="U645" s="32"/>
      <x:c r="V645" s="32"/>
      <x:c r="W645" s="32"/>
      <x:c r="X645" s="32"/>
      <x:c r="Y645" s="43" t="str">
        <x:f>IF(OR(X645="",X645="Pending"),"",IF(X645="Rejected",0,IF(AND(U645="Ya",V645="Ya",W645="Ya"),1,"")))</x:f>
      </x:c>
      <x:c r="AA645" s="32"/>
      <x:c r="AB645" s="32"/>
      <x:c r="AC645" s="32"/>
      <x:c r="AD645" s="32"/>
      <x:c r="AE645" s="32"/>
      <x:c r="AF645" s="32"/>
      <x:c r="AG645" s="33" t="str">
        <x:f>IF(OR(AE645="",AF645=""),"",IF(AE645="Positif",IF(AF645="Positif","TP","FN"),IF(AF645="Positif","FP","TN")))</x:f>
      </x:c>
    </x:row>
    <x:row r="646">
      <x:c r="A646" s="32"/>
      <x:c r="B646" s="32"/>
      <x:c r="C646" s="32"/>
      <x:c r="D646" s="35"/>
      <x:c r="E646" s="32"/>
      <x:c r="F646" s="32"/>
      <x:c r="G646" s="32"/>
      <x:c r="H646" s="32"/>
      <x:c r="I646" s="32"/>
      <x:c r="J646" s="32"/>
      <x:c r="K646" s="32"/>
      <x:c r="L646" s="32"/>
      <x:c r="M646" s="32"/>
      <x:c r="N646" s="37"/>
      <x:c r="O646" s="32"/>
      <x:c r="P646" s="40"/>
      <x:c r="Q646" s="40"/>
      <x:c r="R646" s="41" t="str">
        <x:f>IF(OR(P646="",Q646=""),"",P646-Q646)</x:f>
      </x:c>
      <x:c r="S646" s="32"/>
      <x:c r="T646" s="32"/>
      <x:c r="U646" s="32"/>
      <x:c r="V646" s="32"/>
      <x:c r="W646" s="32"/>
      <x:c r="X646" s="32"/>
      <x:c r="Y646" s="43" t="str">
        <x:f>IF(OR(X646="",X646="Pending"),"",IF(X646="Rejected",0,IF(AND(U646="Ya",V646="Ya",W646="Ya"),1,"")))</x:f>
      </x:c>
      <x:c r="AA646" s="32"/>
      <x:c r="AB646" s="32"/>
      <x:c r="AC646" s="32"/>
      <x:c r="AD646" s="32"/>
      <x:c r="AE646" s="32"/>
      <x:c r="AF646" s="32"/>
      <x:c r="AG646" s="33" t="str">
        <x:f>IF(OR(AE646="",AF646=""),"",IF(AE646="Positif",IF(AF646="Positif","TP","FN"),IF(AF646="Positif","FP","TN")))</x:f>
      </x:c>
    </x:row>
    <x:row r="647">
      <x:c r="A647" s="32"/>
      <x:c r="B647" s="32"/>
      <x:c r="C647" s="32"/>
      <x:c r="D647" s="35"/>
      <x:c r="E647" s="32"/>
      <x:c r="F647" s="32"/>
      <x:c r="G647" s="32"/>
      <x:c r="H647" s="32"/>
      <x:c r="I647" s="32"/>
      <x:c r="J647" s="32"/>
      <x:c r="K647" s="32"/>
      <x:c r="L647" s="32"/>
      <x:c r="M647" s="32"/>
      <x:c r="N647" s="37"/>
      <x:c r="O647" s="32"/>
      <x:c r="P647" s="40"/>
      <x:c r="Q647" s="40"/>
      <x:c r="R647" s="41" t="str">
        <x:f>IF(OR(P647="",Q647=""),"",P647-Q647)</x:f>
      </x:c>
      <x:c r="S647" s="32"/>
      <x:c r="T647" s="32"/>
      <x:c r="U647" s="32"/>
      <x:c r="V647" s="32"/>
      <x:c r="W647" s="32"/>
      <x:c r="X647" s="32"/>
      <x:c r="Y647" s="43" t="str">
        <x:f>IF(OR(X647="",X647="Pending"),"",IF(X647="Rejected",0,IF(AND(U647="Ya",V647="Ya",W647="Ya"),1,"")))</x:f>
      </x:c>
      <x:c r="AA647" s="32"/>
      <x:c r="AB647" s="32"/>
      <x:c r="AC647" s="32"/>
      <x:c r="AD647" s="32"/>
      <x:c r="AE647" s="32"/>
      <x:c r="AF647" s="32"/>
      <x:c r="AG647" s="33" t="str">
        <x:f>IF(OR(AE647="",AF647=""),"",IF(AE647="Positif",IF(AF647="Positif","TP","FN"),IF(AF647="Positif","FP","TN")))</x:f>
      </x:c>
    </x:row>
    <x:row r="648">
      <x:c r="A648" s="32"/>
      <x:c r="B648" s="32"/>
      <x:c r="C648" s="32"/>
      <x:c r="D648" s="35"/>
      <x:c r="E648" s="32"/>
      <x:c r="F648" s="32"/>
      <x:c r="G648" s="32"/>
      <x:c r="H648" s="32"/>
      <x:c r="I648" s="32"/>
      <x:c r="J648" s="32"/>
      <x:c r="K648" s="32"/>
      <x:c r="L648" s="32"/>
      <x:c r="M648" s="32"/>
      <x:c r="N648" s="37"/>
      <x:c r="O648" s="32"/>
      <x:c r="P648" s="40"/>
      <x:c r="Q648" s="40"/>
      <x:c r="R648" s="41" t="str">
        <x:f>IF(OR(P648="",Q648=""),"",P648-Q648)</x:f>
      </x:c>
      <x:c r="S648" s="32"/>
      <x:c r="T648" s="32"/>
      <x:c r="U648" s="32"/>
      <x:c r="V648" s="32"/>
      <x:c r="W648" s="32"/>
      <x:c r="X648" s="32"/>
      <x:c r="Y648" s="43" t="str">
        <x:f>IF(OR(X648="",X648="Pending"),"",IF(X648="Rejected",0,IF(AND(U648="Ya",V648="Ya",W648="Ya"),1,"")))</x:f>
      </x:c>
      <x:c r="AA648" s="32"/>
      <x:c r="AB648" s="32"/>
      <x:c r="AC648" s="32"/>
      <x:c r="AD648" s="32"/>
      <x:c r="AE648" s="32"/>
      <x:c r="AF648" s="32"/>
      <x:c r="AG648" s="33" t="str">
        <x:f>IF(OR(AE648="",AF648=""),"",IF(AE648="Positif",IF(AF648="Positif","TP","FN"),IF(AF648="Positif","FP","TN")))</x:f>
      </x:c>
    </x:row>
    <x:row r="649">
      <x:c r="A649" s="32"/>
      <x:c r="B649" s="32"/>
      <x:c r="C649" s="32"/>
      <x:c r="D649" s="35"/>
      <x:c r="E649" s="32"/>
      <x:c r="F649" s="32"/>
      <x:c r="G649" s="32"/>
      <x:c r="H649" s="32"/>
      <x:c r="I649" s="32"/>
      <x:c r="J649" s="32"/>
      <x:c r="K649" s="32"/>
      <x:c r="L649" s="32"/>
      <x:c r="M649" s="32"/>
      <x:c r="N649" s="37"/>
      <x:c r="O649" s="32"/>
      <x:c r="P649" s="40"/>
      <x:c r="Q649" s="40"/>
      <x:c r="R649" s="41" t="str">
        <x:f>IF(OR(P649="",Q649=""),"",P649-Q649)</x:f>
      </x:c>
      <x:c r="S649" s="32"/>
      <x:c r="T649" s="32"/>
      <x:c r="U649" s="32"/>
      <x:c r="V649" s="32"/>
      <x:c r="W649" s="32"/>
      <x:c r="X649" s="32"/>
      <x:c r="Y649" s="43" t="str">
        <x:f>IF(OR(X649="",X649="Pending"),"",IF(X649="Rejected",0,IF(AND(U649="Ya",V649="Ya",W649="Ya"),1,"")))</x:f>
      </x:c>
      <x:c r="AA649" s="32"/>
      <x:c r="AB649" s="32"/>
      <x:c r="AC649" s="32"/>
      <x:c r="AD649" s="32"/>
      <x:c r="AE649" s="32"/>
      <x:c r="AF649" s="32"/>
      <x:c r="AG649" s="33" t="str">
        <x:f>IF(OR(AE649="",AF649=""),"",IF(AE649="Positif",IF(AF649="Positif","TP","FN"),IF(AF649="Positif","FP","TN")))</x:f>
      </x:c>
    </x:row>
    <x:row r="650">
      <x:c r="A650" s="32"/>
      <x:c r="B650" s="32"/>
      <x:c r="C650" s="32"/>
      <x:c r="D650" s="35"/>
      <x:c r="E650" s="32"/>
      <x:c r="F650" s="32"/>
      <x:c r="G650" s="32"/>
      <x:c r="H650" s="32"/>
      <x:c r="I650" s="32"/>
      <x:c r="J650" s="32"/>
      <x:c r="K650" s="32"/>
      <x:c r="L650" s="32"/>
      <x:c r="M650" s="32"/>
      <x:c r="N650" s="37"/>
      <x:c r="O650" s="32"/>
      <x:c r="P650" s="40"/>
      <x:c r="Q650" s="40"/>
      <x:c r="R650" s="41" t="str">
        <x:f>IF(OR(P650="",Q650=""),"",P650-Q650)</x:f>
      </x:c>
      <x:c r="S650" s="32"/>
      <x:c r="T650" s="32"/>
      <x:c r="U650" s="32"/>
      <x:c r="V650" s="32"/>
      <x:c r="W650" s="32"/>
      <x:c r="X650" s="32"/>
      <x:c r="Y650" s="43" t="str">
        <x:f>IF(OR(X650="",X650="Pending"),"",IF(X650="Rejected",0,IF(AND(U650="Ya",V650="Ya",W650="Ya"),1,"")))</x:f>
      </x:c>
      <x:c r="AA650" s="32"/>
      <x:c r="AB650" s="32"/>
      <x:c r="AC650" s="32"/>
      <x:c r="AD650" s="32"/>
      <x:c r="AE650" s="32"/>
      <x:c r="AF650" s="32"/>
      <x:c r="AG650" s="33" t="str">
        <x:f>IF(OR(AE650="",AF650=""),"",IF(AE650="Positif",IF(AF650="Positif","TP","FN"),IF(AF650="Positif","FP","TN")))</x:f>
      </x:c>
    </x:row>
    <x:row r="651">
      <x:c r="A651" s="32"/>
      <x:c r="B651" s="32"/>
      <x:c r="C651" s="32"/>
      <x:c r="D651" s="35"/>
      <x:c r="E651" s="32"/>
      <x:c r="F651" s="32"/>
      <x:c r="G651" s="32"/>
      <x:c r="H651" s="32"/>
      <x:c r="I651" s="32"/>
      <x:c r="J651" s="32"/>
      <x:c r="K651" s="32"/>
      <x:c r="L651" s="32"/>
      <x:c r="M651" s="32"/>
      <x:c r="N651" s="37"/>
      <x:c r="O651" s="32"/>
      <x:c r="P651" s="40"/>
      <x:c r="Q651" s="40"/>
      <x:c r="R651" s="41" t="str">
        <x:f>IF(OR(P651="",Q651=""),"",P651-Q651)</x:f>
      </x:c>
      <x:c r="S651" s="32"/>
      <x:c r="T651" s="32"/>
      <x:c r="U651" s="32"/>
      <x:c r="V651" s="32"/>
      <x:c r="W651" s="32"/>
      <x:c r="X651" s="32"/>
      <x:c r="Y651" s="43" t="str">
        <x:f>IF(OR(X651="",X651="Pending"),"",IF(X651="Rejected",0,IF(AND(U651="Ya",V651="Ya",W651="Ya"),1,"")))</x:f>
      </x:c>
      <x:c r="AA651" s="32"/>
      <x:c r="AB651" s="32"/>
      <x:c r="AC651" s="32"/>
      <x:c r="AD651" s="32"/>
      <x:c r="AE651" s="32"/>
      <x:c r="AF651" s="32"/>
      <x:c r="AG651" s="33" t="str">
        <x:f>IF(OR(AE651="",AF651=""),"",IF(AE651="Positif",IF(AF651="Positif","TP","FN"),IF(AF651="Positif","FP","TN")))</x:f>
      </x:c>
    </x:row>
    <x:row r="652">
      <x:c r="A652" s="32"/>
      <x:c r="B652" s="32"/>
      <x:c r="C652" s="32"/>
      <x:c r="D652" s="35"/>
      <x:c r="E652" s="32"/>
      <x:c r="F652" s="32"/>
      <x:c r="G652" s="32"/>
      <x:c r="H652" s="32"/>
      <x:c r="I652" s="32"/>
      <x:c r="J652" s="32"/>
      <x:c r="K652" s="32"/>
      <x:c r="L652" s="32"/>
      <x:c r="M652" s="32"/>
      <x:c r="N652" s="37"/>
      <x:c r="O652" s="32"/>
      <x:c r="P652" s="40"/>
      <x:c r="Q652" s="40"/>
      <x:c r="R652" s="41" t="str">
        <x:f>IF(OR(P652="",Q652=""),"",P652-Q652)</x:f>
      </x:c>
      <x:c r="S652" s="32"/>
      <x:c r="T652" s="32"/>
      <x:c r="U652" s="32"/>
      <x:c r="V652" s="32"/>
      <x:c r="W652" s="32"/>
      <x:c r="X652" s="32"/>
      <x:c r="Y652" s="43" t="str">
        <x:f>IF(OR(X652="",X652="Pending"),"",IF(X652="Rejected",0,IF(AND(U652="Ya",V652="Ya",W652="Ya"),1,"")))</x:f>
      </x:c>
      <x:c r="AA652" s="32"/>
      <x:c r="AB652" s="32"/>
      <x:c r="AC652" s="32"/>
      <x:c r="AD652" s="32"/>
      <x:c r="AE652" s="32"/>
      <x:c r="AF652" s="32"/>
      <x:c r="AG652" s="33" t="str">
        <x:f>IF(OR(AE652="",AF652=""),"",IF(AE652="Positif",IF(AF652="Positif","TP","FN"),IF(AF652="Positif","FP","TN")))</x:f>
      </x:c>
    </x:row>
    <x:row r="653">
      <x:c r="A653" s="32"/>
      <x:c r="B653" s="32"/>
      <x:c r="C653" s="32"/>
      <x:c r="D653" s="35"/>
      <x:c r="E653" s="32"/>
      <x:c r="F653" s="32"/>
      <x:c r="G653" s="32"/>
      <x:c r="H653" s="32"/>
      <x:c r="I653" s="32"/>
      <x:c r="J653" s="32"/>
      <x:c r="K653" s="32"/>
      <x:c r="L653" s="32"/>
      <x:c r="M653" s="32"/>
      <x:c r="N653" s="37"/>
      <x:c r="O653" s="32"/>
      <x:c r="P653" s="40"/>
      <x:c r="Q653" s="40"/>
      <x:c r="R653" s="41" t="str">
        <x:f>IF(OR(P653="",Q653=""),"",P653-Q653)</x:f>
      </x:c>
      <x:c r="S653" s="32"/>
      <x:c r="T653" s="32"/>
      <x:c r="U653" s="32"/>
      <x:c r="V653" s="32"/>
      <x:c r="W653" s="32"/>
      <x:c r="X653" s="32"/>
      <x:c r="Y653" s="43" t="str">
        <x:f>IF(OR(X653="",X653="Pending"),"",IF(X653="Rejected",0,IF(AND(U653="Ya",V653="Ya",W653="Ya"),1,"")))</x:f>
      </x:c>
      <x:c r="AA653" s="32"/>
      <x:c r="AB653" s="32"/>
      <x:c r="AC653" s="32"/>
      <x:c r="AD653" s="32"/>
      <x:c r="AE653" s="32"/>
      <x:c r="AF653" s="32"/>
      <x:c r="AG653" s="33" t="str">
        <x:f>IF(OR(AE653="",AF653=""),"",IF(AE653="Positif",IF(AF653="Positif","TP","FN"),IF(AF653="Positif","FP","TN")))</x:f>
      </x:c>
    </x:row>
    <x:row r="654">
      <x:c r="A654" s="32"/>
      <x:c r="B654" s="32"/>
      <x:c r="C654" s="32"/>
      <x:c r="D654" s="35"/>
      <x:c r="E654" s="32"/>
      <x:c r="F654" s="32"/>
      <x:c r="G654" s="32"/>
      <x:c r="H654" s="32"/>
      <x:c r="I654" s="32"/>
      <x:c r="J654" s="32"/>
      <x:c r="K654" s="32"/>
      <x:c r="L654" s="32"/>
      <x:c r="M654" s="32"/>
      <x:c r="N654" s="37"/>
      <x:c r="O654" s="32"/>
      <x:c r="P654" s="40"/>
      <x:c r="Q654" s="40"/>
      <x:c r="R654" s="41" t="str">
        <x:f>IF(OR(P654="",Q654=""),"",P654-Q654)</x:f>
      </x:c>
      <x:c r="S654" s="32"/>
      <x:c r="T654" s="32"/>
      <x:c r="U654" s="32"/>
      <x:c r="V654" s="32"/>
      <x:c r="W654" s="32"/>
      <x:c r="X654" s="32"/>
      <x:c r="Y654" s="43" t="str">
        <x:f>IF(OR(X654="",X654="Pending"),"",IF(X654="Rejected",0,IF(AND(U654="Ya",V654="Ya",W654="Ya"),1,"")))</x:f>
      </x:c>
      <x:c r="AA654" s="32"/>
      <x:c r="AB654" s="32"/>
      <x:c r="AC654" s="32"/>
      <x:c r="AD654" s="32"/>
      <x:c r="AE654" s="32"/>
      <x:c r="AF654" s="32"/>
      <x:c r="AG654" s="33" t="str">
        <x:f>IF(OR(AE654="",AF654=""),"",IF(AE654="Positif",IF(AF654="Positif","TP","FN"),IF(AF654="Positif","FP","TN")))</x:f>
      </x:c>
    </x:row>
    <x:row r="655">
      <x:c r="A655" s="32"/>
      <x:c r="B655" s="32"/>
      <x:c r="C655" s="32"/>
      <x:c r="D655" s="35"/>
      <x:c r="E655" s="32"/>
      <x:c r="F655" s="32"/>
      <x:c r="G655" s="32"/>
      <x:c r="H655" s="32"/>
      <x:c r="I655" s="32"/>
      <x:c r="J655" s="32"/>
      <x:c r="K655" s="32"/>
      <x:c r="L655" s="32"/>
      <x:c r="M655" s="32"/>
      <x:c r="N655" s="37"/>
      <x:c r="O655" s="32"/>
      <x:c r="P655" s="40"/>
      <x:c r="Q655" s="40"/>
      <x:c r="R655" s="41" t="str">
        <x:f>IF(OR(P655="",Q655=""),"",P655-Q655)</x:f>
      </x:c>
      <x:c r="S655" s="32"/>
      <x:c r="T655" s="32"/>
      <x:c r="U655" s="32"/>
      <x:c r="V655" s="32"/>
      <x:c r="W655" s="32"/>
      <x:c r="X655" s="32"/>
      <x:c r="Y655" s="43" t="str">
        <x:f>IF(OR(X655="",X655="Pending"),"",IF(X655="Rejected",0,IF(AND(U655="Ya",V655="Ya",W655="Ya"),1,"")))</x:f>
      </x:c>
      <x:c r="AA655" s="32"/>
      <x:c r="AB655" s="32"/>
      <x:c r="AC655" s="32"/>
      <x:c r="AD655" s="32"/>
      <x:c r="AE655" s="32"/>
      <x:c r="AF655" s="32"/>
      <x:c r="AG655" s="33" t="str">
        <x:f>IF(OR(AE655="",AF655=""),"",IF(AE655="Positif",IF(AF655="Positif","TP","FN"),IF(AF655="Positif","FP","TN")))</x:f>
      </x:c>
    </x:row>
    <x:row r="656">
      <x:c r="A656" s="32"/>
      <x:c r="B656" s="32"/>
      <x:c r="C656" s="32"/>
      <x:c r="D656" s="35"/>
      <x:c r="E656" s="32"/>
      <x:c r="F656" s="32"/>
      <x:c r="G656" s="32"/>
      <x:c r="H656" s="32"/>
      <x:c r="I656" s="32"/>
      <x:c r="J656" s="32"/>
      <x:c r="K656" s="32"/>
      <x:c r="L656" s="32"/>
      <x:c r="M656" s="32"/>
      <x:c r="N656" s="37"/>
      <x:c r="O656" s="32"/>
      <x:c r="P656" s="40"/>
      <x:c r="Q656" s="40"/>
      <x:c r="R656" s="41" t="str">
        <x:f>IF(OR(P656="",Q656=""),"",P656-Q656)</x:f>
      </x:c>
      <x:c r="S656" s="32"/>
      <x:c r="T656" s="32"/>
      <x:c r="U656" s="32"/>
      <x:c r="V656" s="32"/>
      <x:c r="W656" s="32"/>
      <x:c r="X656" s="32"/>
      <x:c r="Y656" s="43" t="str">
        <x:f>IF(OR(X656="",X656="Pending"),"",IF(X656="Rejected",0,IF(AND(U656="Ya",V656="Ya",W656="Ya"),1,"")))</x:f>
      </x:c>
      <x:c r="AA656" s="32"/>
      <x:c r="AB656" s="32"/>
      <x:c r="AC656" s="32"/>
      <x:c r="AD656" s="32"/>
      <x:c r="AE656" s="32"/>
      <x:c r="AF656" s="32"/>
      <x:c r="AG656" s="33" t="str">
        <x:f>IF(OR(AE656="",AF656=""),"",IF(AE656="Positif",IF(AF656="Positif","TP","FN"),IF(AF656="Positif","FP","TN")))</x:f>
      </x:c>
    </x:row>
    <x:row r="657">
      <x:c r="A657" s="32"/>
      <x:c r="B657" s="32"/>
      <x:c r="C657" s="32"/>
      <x:c r="D657" s="35"/>
      <x:c r="E657" s="32"/>
      <x:c r="F657" s="32"/>
      <x:c r="G657" s="32"/>
      <x:c r="H657" s="32"/>
      <x:c r="I657" s="32"/>
      <x:c r="J657" s="32"/>
      <x:c r="K657" s="32"/>
      <x:c r="L657" s="32"/>
      <x:c r="M657" s="32"/>
      <x:c r="N657" s="37"/>
      <x:c r="O657" s="32"/>
      <x:c r="P657" s="40"/>
      <x:c r="Q657" s="40"/>
      <x:c r="R657" s="41" t="str">
        <x:f>IF(OR(P657="",Q657=""),"",P657-Q657)</x:f>
      </x:c>
      <x:c r="S657" s="32"/>
      <x:c r="T657" s="32"/>
      <x:c r="U657" s="32"/>
      <x:c r="V657" s="32"/>
      <x:c r="W657" s="32"/>
      <x:c r="X657" s="32"/>
      <x:c r="Y657" s="43" t="str">
        <x:f>IF(OR(X657="",X657="Pending"),"",IF(X657="Rejected",0,IF(AND(U657="Ya",V657="Ya",W657="Ya"),1,"")))</x:f>
      </x:c>
      <x:c r="AA657" s="32"/>
      <x:c r="AB657" s="32"/>
      <x:c r="AC657" s="32"/>
      <x:c r="AD657" s="32"/>
      <x:c r="AE657" s="32"/>
      <x:c r="AF657" s="32"/>
      <x:c r="AG657" s="33" t="str">
        <x:f>IF(OR(AE657="",AF657=""),"",IF(AE657="Positif",IF(AF657="Positif","TP","FN"),IF(AF657="Positif","FP","TN")))</x:f>
      </x:c>
    </x:row>
    <x:row r="658">
      <x:c r="A658" s="32"/>
      <x:c r="B658" s="32"/>
      <x:c r="C658" s="32"/>
      <x:c r="D658" s="35"/>
      <x:c r="E658" s="32"/>
      <x:c r="F658" s="32"/>
      <x:c r="G658" s="32"/>
      <x:c r="H658" s="32"/>
      <x:c r="I658" s="32"/>
      <x:c r="J658" s="32"/>
      <x:c r="K658" s="32"/>
      <x:c r="L658" s="32"/>
      <x:c r="M658" s="32"/>
      <x:c r="N658" s="37"/>
      <x:c r="O658" s="32"/>
      <x:c r="P658" s="40"/>
      <x:c r="Q658" s="40"/>
      <x:c r="R658" s="41" t="str">
        <x:f>IF(OR(P658="",Q658=""),"",P658-Q658)</x:f>
      </x:c>
      <x:c r="S658" s="32"/>
      <x:c r="T658" s="32"/>
      <x:c r="U658" s="32"/>
      <x:c r="V658" s="32"/>
      <x:c r="W658" s="32"/>
      <x:c r="X658" s="32"/>
      <x:c r="Y658" s="43" t="str">
        <x:f>IF(OR(X658="",X658="Pending"),"",IF(X658="Rejected",0,IF(AND(U658="Ya",V658="Ya",W658="Ya"),1,"")))</x:f>
      </x:c>
      <x:c r="AA658" s="32"/>
      <x:c r="AB658" s="32"/>
      <x:c r="AC658" s="32"/>
      <x:c r="AD658" s="32"/>
      <x:c r="AE658" s="32"/>
      <x:c r="AF658" s="32"/>
      <x:c r="AG658" s="33" t="str">
        <x:f>IF(OR(AE658="",AF658=""),"",IF(AE658="Positif",IF(AF658="Positif","TP","FN"),IF(AF658="Positif","FP","TN")))</x:f>
      </x:c>
    </x:row>
    <x:row r="659">
      <x:c r="A659" s="32"/>
      <x:c r="B659" s="32"/>
      <x:c r="C659" s="32"/>
      <x:c r="D659" s="35"/>
      <x:c r="E659" s="32"/>
      <x:c r="F659" s="32"/>
      <x:c r="G659" s="32"/>
      <x:c r="H659" s="32"/>
      <x:c r="I659" s="32"/>
      <x:c r="J659" s="32"/>
      <x:c r="K659" s="32"/>
      <x:c r="L659" s="32"/>
      <x:c r="M659" s="32"/>
      <x:c r="N659" s="37"/>
      <x:c r="O659" s="32"/>
      <x:c r="P659" s="40"/>
      <x:c r="Q659" s="40"/>
      <x:c r="R659" s="41" t="str">
        <x:f>IF(OR(P659="",Q659=""),"",P659-Q659)</x:f>
      </x:c>
      <x:c r="S659" s="32"/>
      <x:c r="T659" s="32"/>
      <x:c r="U659" s="32"/>
      <x:c r="V659" s="32"/>
      <x:c r="W659" s="32"/>
      <x:c r="X659" s="32"/>
      <x:c r="Y659" s="43" t="str">
        <x:f>IF(OR(X659="",X659="Pending"),"",IF(X659="Rejected",0,IF(AND(U659="Ya",V659="Ya",W659="Ya"),1,"")))</x:f>
      </x:c>
      <x:c r="AA659" s="32"/>
      <x:c r="AB659" s="32"/>
      <x:c r="AC659" s="32"/>
      <x:c r="AD659" s="32"/>
      <x:c r="AE659" s="32"/>
      <x:c r="AF659" s="32"/>
      <x:c r="AG659" s="33" t="str">
        <x:f>IF(OR(AE659="",AF659=""),"",IF(AE659="Positif",IF(AF659="Positif","TP","FN"),IF(AF659="Positif","FP","TN")))</x:f>
      </x:c>
    </x:row>
    <x:row r="660">
      <x:c r="A660" s="32"/>
      <x:c r="B660" s="32"/>
      <x:c r="C660" s="32"/>
      <x:c r="D660" s="35"/>
      <x:c r="E660" s="32"/>
      <x:c r="F660" s="32"/>
      <x:c r="G660" s="32"/>
      <x:c r="H660" s="32"/>
      <x:c r="I660" s="32"/>
      <x:c r="J660" s="32"/>
      <x:c r="K660" s="32"/>
      <x:c r="L660" s="32"/>
      <x:c r="M660" s="32"/>
      <x:c r="N660" s="37"/>
      <x:c r="O660" s="32"/>
      <x:c r="P660" s="40"/>
      <x:c r="Q660" s="40"/>
      <x:c r="R660" s="41" t="str">
        <x:f>IF(OR(P660="",Q660=""),"",P660-Q660)</x:f>
      </x:c>
      <x:c r="S660" s="32"/>
      <x:c r="T660" s="32"/>
      <x:c r="U660" s="32"/>
      <x:c r="V660" s="32"/>
      <x:c r="W660" s="32"/>
      <x:c r="X660" s="32"/>
      <x:c r="Y660" s="43" t="str">
        <x:f>IF(OR(X660="",X660="Pending"),"",IF(X660="Rejected",0,IF(AND(U660="Ya",V660="Ya",W660="Ya"),1,"")))</x:f>
      </x:c>
      <x:c r="AA660" s="32"/>
      <x:c r="AB660" s="32"/>
      <x:c r="AC660" s="32"/>
      <x:c r="AD660" s="32"/>
      <x:c r="AE660" s="32"/>
      <x:c r="AF660" s="32"/>
      <x:c r="AG660" s="33" t="str">
        <x:f>IF(OR(AE660="",AF660=""),"",IF(AE660="Positif",IF(AF660="Positif","TP","FN"),IF(AF660="Positif","FP","TN")))</x:f>
      </x:c>
    </x:row>
    <x:row r="661">
      <x:c r="A661" s="32"/>
      <x:c r="B661" s="32"/>
      <x:c r="C661" s="32"/>
      <x:c r="D661" s="35"/>
      <x:c r="E661" s="32"/>
      <x:c r="F661" s="32"/>
      <x:c r="G661" s="32"/>
      <x:c r="H661" s="32"/>
      <x:c r="I661" s="32"/>
      <x:c r="J661" s="32"/>
      <x:c r="K661" s="32"/>
      <x:c r="L661" s="32"/>
      <x:c r="M661" s="32"/>
      <x:c r="N661" s="37"/>
      <x:c r="O661" s="32"/>
      <x:c r="P661" s="40"/>
      <x:c r="Q661" s="40"/>
      <x:c r="R661" s="41" t="str">
        <x:f>IF(OR(P661="",Q661=""),"",P661-Q661)</x:f>
      </x:c>
      <x:c r="S661" s="32"/>
      <x:c r="T661" s="32"/>
      <x:c r="U661" s="32"/>
      <x:c r="V661" s="32"/>
      <x:c r="W661" s="32"/>
      <x:c r="X661" s="32"/>
      <x:c r="Y661" s="43" t="str">
        <x:f>IF(OR(X661="",X661="Pending"),"",IF(X661="Rejected",0,IF(AND(U661="Ya",V661="Ya",W661="Ya"),1,"")))</x:f>
      </x:c>
      <x:c r="AA661" s="32"/>
      <x:c r="AB661" s="32"/>
      <x:c r="AC661" s="32"/>
      <x:c r="AD661" s="32"/>
      <x:c r="AE661" s="32"/>
      <x:c r="AF661" s="32"/>
      <x:c r="AG661" s="33" t="str">
        <x:f>IF(OR(AE661="",AF661=""),"",IF(AE661="Positif",IF(AF661="Positif","TP","FN"),IF(AF661="Positif","FP","TN")))</x:f>
      </x:c>
    </x:row>
    <x:row r="662">
      <x:c r="A662" s="32"/>
      <x:c r="B662" s="32"/>
      <x:c r="C662" s="32"/>
      <x:c r="D662" s="35"/>
      <x:c r="E662" s="32"/>
      <x:c r="F662" s="32"/>
      <x:c r="G662" s="32"/>
      <x:c r="H662" s="32"/>
      <x:c r="I662" s="32"/>
      <x:c r="J662" s="32"/>
      <x:c r="K662" s="32"/>
      <x:c r="L662" s="32"/>
      <x:c r="M662" s="32"/>
      <x:c r="N662" s="37"/>
      <x:c r="O662" s="32"/>
      <x:c r="P662" s="40"/>
      <x:c r="Q662" s="40"/>
      <x:c r="R662" s="41" t="str">
        <x:f>IF(OR(P662="",Q662=""),"",P662-Q662)</x:f>
      </x:c>
      <x:c r="S662" s="32"/>
      <x:c r="T662" s="32"/>
      <x:c r="U662" s="32"/>
      <x:c r="V662" s="32"/>
      <x:c r="W662" s="32"/>
      <x:c r="X662" s="32"/>
      <x:c r="Y662" s="43" t="str">
        <x:f>IF(OR(X662="",X662="Pending"),"",IF(X662="Rejected",0,IF(AND(U662="Ya",V662="Ya",W662="Ya"),1,"")))</x:f>
      </x:c>
      <x:c r="AA662" s="32"/>
      <x:c r="AB662" s="32"/>
      <x:c r="AC662" s="32"/>
      <x:c r="AD662" s="32"/>
      <x:c r="AE662" s="32"/>
      <x:c r="AF662" s="32"/>
      <x:c r="AG662" s="33" t="str">
        <x:f>IF(OR(AE662="",AF662=""),"",IF(AE662="Positif",IF(AF662="Positif","TP","FN"),IF(AF662="Positif","FP","TN")))</x:f>
      </x:c>
    </x:row>
    <x:row r="663">
      <x:c r="A663" s="32"/>
      <x:c r="B663" s="32"/>
      <x:c r="C663" s="32"/>
      <x:c r="D663" s="35"/>
      <x:c r="E663" s="32"/>
      <x:c r="F663" s="32"/>
      <x:c r="G663" s="32"/>
      <x:c r="H663" s="32"/>
      <x:c r="I663" s="32"/>
      <x:c r="J663" s="32"/>
      <x:c r="K663" s="32"/>
      <x:c r="L663" s="32"/>
      <x:c r="M663" s="32"/>
      <x:c r="N663" s="37"/>
      <x:c r="O663" s="32"/>
      <x:c r="P663" s="40"/>
      <x:c r="Q663" s="40"/>
      <x:c r="R663" s="41" t="str">
        <x:f>IF(OR(P663="",Q663=""),"",P663-Q663)</x:f>
      </x:c>
      <x:c r="S663" s="32"/>
      <x:c r="T663" s="32"/>
      <x:c r="U663" s="32"/>
      <x:c r="V663" s="32"/>
      <x:c r="W663" s="32"/>
      <x:c r="X663" s="32"/>
      <x:c r="Y663" s="43" t="str">
        <x:f>IF(OR(X663="",X663="Pending"),"",IF(X663="Rejected",0,IF(AND(U663="Ya",V663="Ya",W663="Ya"),1,"")))</x:f>
      </x:c>
      <x:c r="AA663" s="32"/>
      <x:c r="AB663" s="32"/>
      <x:c r="AC663" s="32"/>
      <x:c r="AD663" s="32"/>
      <x:c r="AE663" s="32"/>
      <x:c r="AF663" s="32"/>
      <x:c r="AG663" s="33" t="str">
        <x:f>IF(OR(AE663="",AF663=""),"",IF(AE663="Positif",IF(AF663="Positif","TP","FN"),IF(AF663="Positif","FP","TN")))</x:f>
      </x:c>
    </x:row>
    <x:row r="664">
      <x:c r="A664" s="32"/>
      <x:c r="B664" s="32"/>
      <x:c r="C664" s="32"/>
      <x:c r="D664" s="35"/>
      <x:c r="E664" s="32"/>
      <x:c r="F664" s="32"/>
      <x:c r="G664" s="32"/>
      <x:c r="H664" s="32"/>
      <x:c r="I664" s="32"/>
      <x:c r="J664" s="32"/>
      <x:c r="K664" s="32"/>
      <x:c r="L664" s="32"/>
      <x:c r="M664" s="32"/>
      <x:c r="N664" s="37"/>
      <x:c r="O664" s="32"/>
      <x:c r="P664" s="40"/>
      <x:c r="Q664" s="40"/>
      <x:c r="R664" s="41" t="str">
        <x:f>IF(OR(P664="",Q664=""),"",P664-Q664)</x:f>
      </x:c>
      <x:c r="S664" s="32"/>
      <x:c r="T664" s="32"/>
      <x:c r="U664" s="32"/>
      <x:c r="V664" s="32"/>
      <x:c r="W664" s="32"/>
      <x:c r="X664" s="32"/>
      <x:c r="Y664" s="43" t="str">
        <x:f>IF(OR(X664="",X664="Pending"),"",IF(X664="Rejected",0,IF(AND(U664="Ya",V664="Ya",W664="Ya"),1,"")))</x:f>
      </x:c>
      <x:c r="AA664" s="32"/>
      <x:c r="AB664" s="32"/>
      <x:c r="AC664" s="32"/>
      <x:c r="AD664" s="32"/>
      <x:c r="AE664" s="32"/>
      <x:c r="AF664" s="32"/>
      <x:c r="AG664" s="33" t="str">
        <x:f>IF(OR(AE664="",AF664=""),"",IF(AE664="Positif",IF(AF664="Positif","TP","FN"),IF(AF664="Positif","FP","TN")))</x:f>
      </x:c>
    </x:row>
    <x:row r="665">
      <x:c r="A665" s="32"/>
      <x:c r="B665" s="32"/>
      <x:c r="C665" s="32"/>
      <x:c r="D665" s="35"/>
      <x:c r="E665" s="32"/>
      <x:c r="F665" s="32"/>
      <x:c r="G665" s="32"/>
      <x:c r="H665" s="32"/>
      <x:c r="I665" s="32"/>
      <x:c r="J665" s="32"/>
      <x:c r="K665" s="32"/>
      <x:c r="L665" s="32"/>
      <x:c r="M665" s="32"/>
      <x:c r="N665" s="37"/>
      <x:c r="O665" s="32"/>
      <x:c r="P665" s="40"/>
      <x:c r="Q665" s="40"/>
      <x:c r="R665" s="41" t="str">
        <x:f>IF(OR(P665="",Q665=""),"",P665-Q665)</x:f>
      </x:c>
      <x:c r="S665" s="32"/>
      <x:c r="T665" s="32"/>
      <x:c r="U665" s="32"/>
      <x:c r="V665" s="32"/>
      <x:c r="W665" s="32"/>
      <x:c r="X665" s="32"/>
      <x:c r="Y665" s="43" t="str">
        <x:f>IF(OR(X665="",X665="Pending"),"",IF(X665="Rejected",0,IF(AND(U665="Ya",V665="Ya",W665="Ya"),1,"")))</x:f>
      </x:c>
      <x:c r="AA665" s="32"/>
      <x:c r="AB665" s="32"/>
      <x:c r="AC665" s="32"/>
      <x:c r="AD665" s="32"/>
      <x:c r="AE665" s="32"/>
      <x:c r="AF665" s="32"/>
      <x:c r="AG665" s="33" t="str">
        <x:f>IF(OR(AE665="",AF665=""),"",IF(AE665="Positif",IF(AF665="Positif","TP","FN"),IF(AF665="Positif","FP","TN")))</x:f>
      </x:c>
    </x:row>
    <x:row r="666">
      <x:c r="A666" s="32"/>
      <x:c r="B666" s="32"/>
      <x:c r="C666" s="32"/>
      <x:c r="D666" s="35"/>
      <x:c r="E666" s="32"/>
      <x:c r="F666" s="32"/>
      <x:c r="G666" s="32"/>
      <x:c r="H666" s="32"/>
      <x:c r="I666" s="32"/>
      <x:c r="J666" s="32"/>
      <x:c r="K666" s="32"/>
      <x:c r="L666" s="32"/>
      <x:c r="M666" s="32"/>
      <x:c r="N666" s="37"/>
      <x:c r="O666" s="32"/>
      <x:c r="P666" s="40"/>
      <x:c r="Q666" s="40"/>
      <x:c r="R666" s="41" t="str">
        <x:f>IF(OR(P666="",Q666=""),"",P666-Q666)</x:f>
      </x:c>
      <x:c r="S666" s="32"/>
      <x:c r="T666" s="32"/>
      <x:c r="U666" s="32"/>
      <x:c r="V666" s="32"/>
      <x:c r="W666" s="32"/>
      <x:c r="X666" s="32"/>
      <x:c r="Y666" s="43" t="str">
        <x:f>IF(OR(X666="",X666="Pending"),"",IF(X666="Rejected",0,IF(AND(U666="Ya",V666="Ya",W666="Ya"),1,"")))</x:f>
      </x:c>
      <x:c r="AA666" s="32"/>
      <x:c r="AB666" s="32"/>
      <x:c r="AC666" s="32"/>
      <x:c r="AD666" s="32"/>
      <x:c r="AE666" s="32"/>
      <x:c r="AF666" s="32"/>
      <x:c r="AG666" s="33" t="str">
        <x:f>IF(OR(AE666="",AF666=""),"",IF(AE666="Positif",IF(AF666="Positif","TP","FN"),IF(AF666="Positif","FP","TN")))</x:f>
      </x:c>
    </x:row>
    <x:row r="667">
      <x:c r="A667" s="32"/>
      <x:c r="B667" s="32"/>
      <x:c r="C667" s="32"/>
      <x:c r="D667" s="35"/>
      <x:c r="E667" s="32"/>
      <x:c r="F667" s="32"/>
      <x:c r="G667" s="32"/>
      <x:c r="H667" s="32"/>
      <x:c r="I667" s="32"/>
      <x:c r="J667" s="32"/>
      <x:c r="K667" s="32"/>
      <x:c r="L667" s="32"/>
      <x:c r="M667" s="32"/>
      <x:c r="N667" s="37"/>
      <x:c r="O667" s="32"/>
      <x:c r="P667" s="40"/>
      <x:c r="Q667" s="40"/>
      <x:c r="R667" s="41" t="str">
        <x:f>IF(OR(P667="",Q667=""),"",P667-Q667)</x:f>
      </x:c>
      <x:c r="S667" s="32"/>
      <x:c r="T667" s="32"/>
      <x:c r="U667" s="32"/>
      <x:c r="V667" s="32"/>
      <x:c r="W667" s="32"/>
      <x:c r="X667" s="32"/>
      <x:c r="Y667" s="43" t="str">
        <x:f>IF(OR(X667="",X667="Pending"),"",IF(X667="Rejected",0,IF(AND(U667="Ya",V667="Ya",W667="Ya"),1,"")))</x:f>
      </x:c>
      <x:c r="AA667" s="32"/>
      <x:c r="AB667" s="32"/>
      <x:c r="AC667" s="32"/>
      <x:c r="AD667" s="32"/>
      <x:c r="AE667" s="32"/>
      <x:c r="AF667" s="32"/>
      <x:c r="AG667" s="33" t="str">
        <x:f>IF(OR(AE667="",AF667=""),"",IF(AE667="Positif",IF(AF667="Positif","TP","FN"),IF(AF667="Positif","FP","TN")))</x:f>
      </x:c>
    </x:row>
    <x:row r="668">
      <x:c r="A668" s="32"/>
      <x:c r="B668" s="32"/>
      <x:c r="C668" s="32"/>
      <x:c r="D668" s="35"/>
      <x:c r="E668" s="32"/>
      <x:c r="F668" s="32"/>
      <x:c r="G668" s="32"/>
      <x:c r="H668" s="32"/>
      <x:c r="I668" s="32"/>
      <x:c r="J668" s="32"/>
      <x:c r="K668" s="32"/>
      <x:c r="L668" s="32"/>
      <x:c r="M668" s="32"/>
      <x:c r="N668" s="37"/>
      <x:c r="O668" s="32"/>
      <x:c r="P668" s="40"/>
      <x:c r="Q668" s="40"/>
      <x:c r="R668" s="41" t="str">
        <x:f>IF(OR(P668="",Q668=""),"",P668-Q668)</x:f>
      </x:c>
      <x:c r="S668" s="32"/>
      <x:c r="T668" s="32"/>
      <x:c r="U668" s="32"/>
      <x:c r="V668" s="32"/>
      <x:c r="W668" s="32"/>
      <x:c r="X668" s="32"/>
      <x:c r="Y668" s="43" t="str">
        <x:f>IF(OR(X668="",X668="Pending"),"",IF(X668="Rejected",0,IF(AND(U668="Ya",V668="Ya",W668="Ya"),1,"")))</x:f>
      </x:c>
      <x:c r="AA668" s="32"/>
      <x:c r="AB668" s="32"/>
      <x:c r="AC668" s="32"/>
      <x:c r="AD668" s="32"/>
      <x:c r="AE668" s="32"/>
      <x:c r="AF668" s="32"/>
      <x:c r="AG668" s="33" t="str">
        <x:f>IF(OR(AE668="",AF668=""),"",IF(AE668="Positif",IF(AF668="Positif","TP","FN"),IF(AF668="Positif","FP","TN")))</x:f>
      </x:c>
    </x:row>
    <x:row r="669">
      <x:c r="A669" s="32"/>
      <x:c r="B669" s="32"/>
      <x:c r="C669" s="32"/>
      <x:c r="D669" s="35"/>
      <x:c r="E669" s="32"/>
      <x:c r="F669" s="32"/>
      <x:c r="G669" s="32"/>
      <x:c r="H669" s="32"/>
      <x:c r="I669" s="32"/>
      <x:c r="J669" s="32"/>
      <x:c r="K669" s="32"/>
      <x:c r="L669" s="32"/>
      <x:c r="M669" s="32"/>
      <x:c r="N669" s="37"/>
      <x:c r="O669" s="32"/>
      <x:c r="P669" s="40"/>
      <x:c r="Q669" s="40"/>
      <x:c r="R669" s="41" t="str">
        <x:f>IF(OR(P669="",Q669=""),"",P669-Q669)</x:f>
      </x:c>
      <x:c r="S669" s="32"/>
      <x:c r="T669" s="32"/>
      <x:c r="U669" s="32"/>
      <x:c r="V669" s="32"/>
      <x:c r="W669" s="32"/>
      <x:c r="X669" s="32"/>
      <x:c r="Y669" s="43" t="str">
        <x:f>IF(OR(X669="",X669="Pending"),"",IF(X669="Rejected",0,IF(AND(U669="Ya",V669="Ya",W669="Ya"),1,"")))</x:f>
      </x:c>
      <x:c r="AA669" s="32"/>
      <x:c r="AB669" s="32"/>
      <x:c r="AC669" s="32"/>
      <x:c r="AD669" s="32"/>
      <x:c r="AE669" s="32"/>
      <x:c r="AF669" s="32"/>
      <x:c r="AG669" s="33" t="str">
        <x:f>IF(OR(AE669="",AF669=""),"",IF(AE669="Positif",IF(AF669="Positif","TP","FN"),IF(AF669="Positif","FP","TN")))</x:f>
      </x:c>
    </x:row>
    <x:row r="670">
      <x:c r="A670" s="32"/>
      <x:c r="B670" s="32"/>
      <x:c r="C670" s="32"/>
      <x:c r="D670" s="35"/>
      <x:c r="E670" s="32"/>
      <x:c r="F670" s="32"/>
      <x:c r="G670" s="32"/>
      <x:c r="H670" s="32"/>
      <x:c r="I670" s="32"/>
      <x:c r="J670" s="32"/>
      <x:c r="K670" s="32"/>
      <x:c r="L670" s="32"/>
      <x:c r="M670" s="32"/>
      <x:c r="N670" s="37"/>
      <x:c r="O670" s="32"/>
      <x:c r="P670" s="40"/>
      <x:c r="Q670" s="40"/>
      <x:c r="R670" s="41" t="str">
        <x:f>IF(OR(P670="",Q670=""),"",P670-Q670)</x:f>
      </x:c>
      <x:c r="S670" s="32"/>
      <x:c r="T670" s="32"/>
      <x:c r="U670" s="32"/>
      <x:c r="V670" s="32"/>
      <x:c r="W670" s="32"/>
      <x:c r="X670" s="32"/>
      <x:c r="Y670" s="43" t="str">
        <x:f>IF(OR(X670="",X670="Pending"),"",IF(X670="Rejected",0,IF(AND(U670="Ya",V670="Ya",W670="Ya"),1,"")))</x:f>
      </x:c>
      <x:c r="AA670" s="32"/>
      <x:c r="AB670" s="32"/>
      <x:c r="AC670" s="32"/>
      <x:c r="AD670" s="32"/>
      <x:c r="AE670" s="32"/>
      <x:c r="AF670" s="32"/>
      <x:c r="AG670" s="33" t="str">
        <x:f>IF(OR(AE670="",AF670=""),"",IF(AE670="Positif",IF(AF670="Positif","TP","FN"),IF(AF670="Positif","FP","TN")))</x:f>
      </x:c>
    </x:row>
    <x:row r="671">
      <x:c r="A671" s="32"/>
      <x:c r="B671" s="32"/>
      <x:c r="C671" s="32"/>
      <x:c r="D671" s="35"/>
      <x:c r="E671" s="32"/>
      <x:c r="F671" s="32"/>
      <x:c r="G671" s="32"/>
      <x:c r="H671" s="32"/>
      <x:c r="I671" s="32"/>
      <x:c r="J671" s="32"/>
      <x:c r="K671" s="32"/>
      <x:c r="L671" s="32"/>
      <x:c r="M671" s="32"/>
      <x:c r="N671" s="37"/>
      <x:c r="O671" s="32"/>
      <x:c r="P671" s="40"/>
      <x:c r="Q671" s="40"/>
      <x:c r="R671" s="41" t="str">
        <x:f>IF(OR(P671="",Q671=""),"",P671-Q671)</x:f>
      </x:c>
      <x:c r="S671" s="32"/>
      <x:c r="T671" s="32"/>
      <x:c r="U671" s="32"/>
      <x:c r="V671" s="32"/>
      <x:c r="W671" s="32"/>
      <x:c r="X671" s="32"/>
      <x:c r="Y671" s="43" t="str">
        <x:f>IF(OR(X671="",X671="Pending"),"",IF(X671="Rejected",0,IF(AND(U671="Ya",V671="Ya",W671="Ya"),1,"")))</x:f>
      </x:c>
      <x:c r="AA671" s="32"/>
      <x:c r="AB671" s="32"/>
      <x:c r="AC671" s="32"/>
      <x:c r="AD671" s="32"/>
      <x:c r="AE671" s="32"/>
      <x:c r="AF671" s="32"/>
      <x:c r="AG671" s="33" t="str">
        <x:f>IF(OR(AE671="",AF671=""),"",IF(AE671="Positif",IF(AF671="Positif","TP","FN"),IF(AF671="Positif","FP","TN")))</x:f>
      </x:c>
    </x:row>
    <x:row r="672">
      <x:c r="A672" s="32"/>
      <x:c r="B672" s="32"/>
      <x:c r="C672" s="32"/>
      <x:c r="D672" s="35"/>
      <x:c r="E672" s="32"/>
      <x:c r="F672" s="32"/>
      <x:c r="G672" s="32"/>
      <x:c r="H672" s="32"/>
      <x:c r="I672" s="32"/>
      <x:c r="J672" s="32"/>
      <x:c r="K672" s="32"/>
      <x:c r="L672" s="32"/>
      <x:c r="M672" s="32"/>
      <x:c r="N672" s="37"/>
      <x:c r="O672" s="32"/>
      <x:c r="P672" s="40"/>
      <x:c r="Q672" s="40"/>
      <x:c r="R672" s="41" t="str">
        <x:f>IF(OR(P672="",Q672=""),"",P672-Q672)</x:f>
      </x:c>
      <x:c r="S672" s="32"/>
      <x:c r="T672" s="32"/>
      <x:c r="U672" s="32"/>
      <x:c r="V672" s="32"/>
      <x:c r="W672" s="32"/>
      <x:c r="X672" s="32"/>
      <x:c r="Y672" s="43" t="str">
        <x:f>IF(OR(X672="",X672="Pending"),"",IF(X672="Rejected",0,IF(AND(U672="Ya",V672="Ya",W672="Ya"),1,"")))</x:f>
      </x:c>
      <x:c r="AA672" s="32"/>
      <x:c r="AB672" s="32"/>
      <x:c r="AC672" s="32"/>
      <x:c r="AD672" s="32"/>
      <x:c r="AE672" s="32"/>
      <x:c r="AF672" s="32"/>
      <x:c r="AG672" s="33" t="str">
        <x:f>IF(OR(AE672="",AF672=""),"",IF(AE672="Positif",IF(AF672="Positif","TP","FN"),IF(AF672="Positif","FP","TN")))</x:f>
      </x:c>
    </x:row>
    <x:row r="673">
      <x:c r="A673" s="32"/>
      <x:c r="B673" s="32"/>
      <x:c r="C673" s="32"/>
      <x:c r="D673" s="35"/>
      <x:c r="E673" s="32"/>
      <x:c r="F673" s="32"/>
      <x:c r="G673" s="32"/>
      <x:c r="H673" s="32"/>
      <x:c r="I673" s="32"/>
      <x:c r="J673" s="32"/>
      <x:c r="K673" s="32"/>
      <x:c r="L673" s="32"/>
      <x:c r="M673" s="32"/>
      <x:c r="N673" s="37"/>
      <x:c r="O673" s="32"/>
      <x:c r="P673" s="40"/>
      <x:c r="Q673" s="40"/>
      <x:c r="R673" s="41" t="str">
        <x:f>IF(OR(P673="",Q673=""),"",P673-Q673)</x:f>
      </x:c>
      <x:c r="S673" s="32"/>
      <x:c r="T673" s="32"/>
      <x:c r="U673" s="32"/>
      <x:c r="V673" s="32"/>
      <x:c r="W673" s="32"/>
      <x:c r="X673" s="32"/>
      <x:c r="Y673" s="43" t="str">
        <x:f>IF(OR(X673="",X673="Pending"),"",IF(X673="Rejected",0,IF(AND(U673="Ya",V673="Ya",W673="Ya"),1,"")))</x:f>
      </x:c>
      <x:c r="AA673" s="32"/>
      <x:c r="AB673" s="32"/>
      <x:c r="AC673" s="32"/>
      <x:c r="AD673" s="32"/>
      <x:c r="AE673" s="32"/>
      <x:c r="AF673" s="32"/>
      <x:c r="AG673" s="33" t="str">
        <x:f>IF(OR(AE673="",AF673=""),"",IF(AE673="Positif",IF(AF673="Positif","TP","FN"),IF(AF673="Positif","FP","TN")))</x:f>
      </x:c>
    </x:row>
    <x:row r="674">
      <x:c r="A674" s="32"/>
      <x:c r="B674" s="32"/>
      <x:c r="C674" s="32"/>
      <x:c r="D674" s="35"/>
      <x:c r="E674" s="32"/>
      <x:c r="F674" s="32"/>
      <x:c r="G674" s="32"/>
      <x:c r="H674" s="32"/>
      <x:c r="I674" s="32"/>
      <x:c r="J674" s="32"/>
      <x:c r="K674" s="32"/>
      <x:c r="L674" s="32"/>
      <x:c r="M674" s="32"/>
      <x:c r="N674" s="37"/>
      <x:c r="O674" s="32"/>
      <x:c r="P674" s="40"/>
      <x:c r="Q674" s="40"/>
      <x:c r="R674" s="41" t="str">
        <x:f>IF(OR(P674="",Q674=""),"",P674-Q674)</x:f>
      </x:c>
      <x:c r="S674" s="32"/>
      <x:c r="T674" s="32"/>
      <x:c r="U674" s="32"/>
      <x:c r="V674" s="32"/>
      <x:c r="W674" s="32"/>
      <x:c r="X674" s="32"/>
      <x:c r="Y674" s="43" t="str">
        <x:f>IF(OR(X674="",X674="Pending"),"",IF(X674="Rejected",0,IF(AND(U674="Ya",V674="Ya",W674="Ya"),1,"")))</x:f>
      </x:c>
      <x:c r="AA674" s="32"/>
      <x:c r="AB674" s="32"/>
      <x:c r="AC674" s="32"/>
      <x:c r="AD674" s="32"/>
      <x:c r="AE674" s="32"/>
      <x:c r="AF674" s="32"/>
      <x:c r="AG674" s="33" t="str">
        <x:f>IF(OR(AE674="",AF674=""),"",IF(AE674="Positif",IF(AF674="Positif","TP","FN"),IF(AF674="Positif","FP","TN")))</x:f>
      </x:c>
    </x:row>
    <x:row r="675">
      <x:c r="A675" s="32"/>
      <x:c r="B675" s="32"/>
      <x:c r="C675" s="32"/>
      <x:c r="D675" s="35"/>
      <x:c r="E675" s="32"/>
      <x:c r="F675" s="32"/>
      <x:c r="G675" s="32"/>
      <x:c r="H675" s="32"/>
      <x:c r="I675" s="32"/>
      <x:c r="J675" s="32"/>
      <x:c r="K675" s="32"/>
      <x:c r="L675" s="32"/>
      <x:c r="M675" s="32"/>
      <x:c r="N675" s="37"/>
      <x:c r="O675" s="32"/>
      <x:c r="P675" s="40"/>
      <x:c r="Q675" s="40"/>
      <x:c r="R675" s="41" t="str">
        <x:f>IF(OR(P675="",Q675=""),"",P675-Q675)</x:f>
      </x:c>
      <x:c r="S675" s="32"/>
      <x:c r="T675" s="32"/>
      <x:c r="U675" s="32"/>
      <x:c r="V675" s="32"/>
      <x:c r="W675" s="32"/>
      <x:c r="X675" s="32"/>
      <x:c r="Y675" s="43" t="str">
        <x:f>IF(OR(X675="",X675="Pending"),"",IF(X675="Rejected",0,IF(AND(U675="Ya",V675="Ya",W675="Ya"),1,"")))</x:f>
      </x:c>
      <x:c r="AA675" s="32"/>
      <x:c r="AB675" s="32"/>
      <x:c r="AC675" s="32"/>
      <x:c r="AD675" s="32"/>
      <x:c r="AE675" s="32"/>
      <x:c r="AF675" s="32"/>
      <x:c r="AG675" s="33" t="str">
        <x:f>IF(OR(AE675="",AF675=""),"",IF(AE675="Positif",IF(AF675="Positif","TP","FN"),IF(AF675="Positif","FP","TN")))</x:f>
      </x:c>
    </x:row>
    <x:row r="676">
      <x:c r="A676" s="32"/>
      <x:c r="B676" s="32"/>
      <x:c r="C676" s="32"/>
      <x:c r="D676" s="35"/>
      <x:c r="E676" s="32"/>
      <x:c r="F676" s="32"/>
      <x:c r="G676" s="32"/>
      <x:c r="H676" s="32"/>
      <x:c r="I676" s="32"/>
      <x:c r="J676" s="32"/>
      <x:c r="K676" s="32"/>
      <x:c r="L676" s="32"/>
      <x:c r="M676" s="32"/>
      <x:c r="N676" s="37"/>
      <x:c r="O676" s="32"/>
      <x:c r="P676" s="40"/>
      <x:c r="Q676" s="40"/>
      <x:c r="R676" s="41" t="str">
        <x:f>IF(OR(P676="",Q676=""),"",P676-Q676)</x:f>
      </x:c>
      <x:c r="S676" s="32"/>
      <x:c r="T676" s="32"/>
      <x:c r="U676" s="32"/>
      <x:c r="V676" s="32"/>
      <x:c r="W676" s="32"/>
      <x:c r="X676" s="32"/>
      <x:c r="Y676" s="43" t="str">
        <x:f>IF(OR(X676="",X676="Pending"),"",IF(X676="Rejected",0,IF(AND(U676="Ya",V676="Ya",W676="Ya"),1,"")))</x:f>
      </x:c>
      <x:c r="AA676" s="32"/>
      <x:c r="AB676" s="32"/>
      <x:c r="AC676" s="32"/>
      <x:c r="AD676" s="32"/>
      <x:c r="AE676" s="32"/>
      <x:c r="AF676" s="32"/>
      <x:c r="AG676" s="33" t="str">
        <x:f>IF(OR(AE676="",AF676=""),"",IF(AE676="Positif",IF(AF676="Positif","TP","FN"),IF(AF676="Positif","FP","TN")))</x:f>
      </x:c>
    </x:row>
    <x:row r="677">
      <x:c r="A677" s="32"/>
      <x:c r="B677" s="32"/>
      <x:c r="C677" s="32"/>
      <x:c r="D677" s="35"/>
      <x:c r="E677" s="32"/>
      <x:c r="F677" s="32"/>
      <x:c r="G677" s="32"/>
      <x:c r="H677" s="32"/>
      <x:c r="I677" s="32"/>
      <x:c r="J677" s="32"/>
      <x:c r="K677" s="32"/>
      <x:c r="L677" s="32"/>
      <x:c r="M677" s="32"/>
      <x:c r="N677" s="37"/>
      <x:c r="O677" s="32"/>
      <x:c r="P677" s="40"/>
      <x:c r="Q677" s="40"/>
      <x:c r="R677" s="41" t="str">
        <x:f>IF(OR(P677="",Q677=""),"",P677-Q677)</x:f>
      </x:c>
      <x:c r="S677" s="32"/>
      <x:c r="T677" s="32"/>
      <x:c r="U677" s="32"/>
      <x:c r="V677" s="32"/>
      <x:c r="W677" s="32"/>
      <x:c r="X677" s="32"/>
      <x:c r="Y677" s="43" t="str">
        <x:f>IF(OR(X677="",X677="Pending"),"",IF(X677="Rejected",0,IF(AND(U677="Ya",V677="Ya",W677="Ya"),1,"")))</x:f>
      </x:c>
      <x:c r="AA677" s="32"/>
      <x:c r="AB677" s="32"/>
      <x:c r="AC677" s="32"/>
      <x:c r="AD677" s="32"/>
      <x:c r="AE677" s="32"/>
      <x:c r="AF677" s="32"/>
      <x:c r="AG677" s="33" t="str">
        <x:f>IF(OR(AE677="",AF677=""),"",IF(AE677="Positif",IF(AF677="Positif","TP","FN"),IF(AF677="Positif","FP","TN")))</x:f>
      </x:c>
    </x:row>
    <x:row r="678">
      <x:c r="A678" s="32"/>
      <x:c r="B678" s="32"/>
      <x:c r="C678" s="32"/>
      <x:c r="D678" s="35"/>
      <x:c r="E678" s="32"/>
      <x:c r="F678" s="32"/>
      <x:c r="G678" s="32"/>
      <x:c r="H678" s="32"/>
      <x:c r="I678" s="32"/>
      <x:c r="J678" s="32"/>
      <x:c r="K678" s="32"/>
      <x:c r="L678" s="32"/>
      <x:c r="M678" s="32"/>
      <x:c r="N678" s="37"/>
      <x:c r="O678" s="32"/>
      <x:c r="P678" s="40"/>
      <x:c r="Q678" s="40"/>
      <x:c r="R678" s="41" t="str">
        <x:f>IF(OR(P678="",Q678=""),"",P678-Q678)</x:f>
      </x:c>
      <x:c r="S678" s="32"/>
      <x:c r="T678" s="32"/>
      <x:c r="U678" s="32"/>
      <x:c r="V678" s="32"/>
      <x:c r="W678" s="32"/>
      <x:c r="X678" s="32"/>
      <x:c r="Y678" s="43" t="str">
        <x:f>IF(OR(X678="",X678="Pending"),"",IF(X678="Rejected",0,IF(AND(U678="Ya",V678="Ya",W678="Ya"),1,"")))</x:f>
      </x:c>
      <x:c r="AA678" s="32"/>
      <x:c r="AB678" s="32"/>
      <x:c r="AC678" s="32"/>
      <x:c r="AD678" s="32"/>
      <x:c r="AE678" s="32"/>
      <x:c r="AF678" s="32"/>
      <x:c r="AG678" s="33" t="str">
        <x:f>IF(OR(AE678="",AF678=""),"",IF(AE678="Positif",IF(AF678="Positif","TP","FN"),IF(AF678="Positif","FP","TN")))</x:f>
      </x:c>
    </x:row>
    <x:row r="679">
      <x:c r="A679" s="32"/>
      <x:c r="B679" s="32"/>
      <x:c r="C679" s="32"/>
      <x:c r="D679" s="35"/>
      <x:c r="E679" s="32"/>
      <x:c r="F679" s="32"/>
      <x:c r="G679" s="32"/>
      <x:c r="H679" s="32"/>
      <x:c r="I679" s="32"/>
      <x:c r="J679" s="32"/>
      <x:c r="K679" s="32"/>
      <x:c r="L679" s="32"/>
      <x:c r="M679" s="32"/>
      <x:c r="N679" s="37"/>
      <x:c r="O679" s="32"/>
      <x:c r="P679" s="40"/>
      <x:c r="Q679" s="40"/>
      <x:c r="R679" s="41" t="str">
        <x:f>IF(OR(P679="",Q679=""),"",P679-Q679)</x:f>
      </x:c>
      <x:c r="S679" s="32"/>
      <x:c r="T679" s="32"/>
      <x:c r="U679" s="32"/>
      <x:c r="V679" s="32"/>
      <x:c r="W679" s="32"/>
      <x:c r="X679" s="32"/>
      <x:c r="Y679" s="43" t="str">
        <x:f>IF(OR(X679="",X679="Pending"),"",IF(X679="Rejected",0,IF(AND(U679="Ya",V679="Ya",W679="Ya"),1,"")))</x:f>
      </x:c>
      <x:c r="AA679" s="32"/>
      <x:c r="AB679" s="32"/>
      <x:c r="AC679" s="32"/>
      <x:c r="AD679" s="32"/>
      <x:c r="AE679" s="32"/>
      <x:c r="AF679" s="32"/>
      <x:c r="AG679" s="33" t="str">
        <x:f>IF(OR(AE679="",AF679=""),"",IF(AE679="Positif",IF(AF679="Positif","TP","FN"),IF(AF679="Positif","FP","TN")))</x:f>
      </x:c>
    </x:row>
    <x:row r="680">
      <x:c r="A680" s="32"/>
      <x:c r="B680" s="32"/>
      <x:c r="C680" s="32"/>
      <x:c r="D680" s="35"/>
      <x:c r="E680" s="32"/>
      <x:c r="F680" s="32"/>
      <x:c r="G680" s="32"/>
      <x:c r="H680" s="32"/>
      <x:c r="I680" s="32"/>
      <x:c r="J680" s="32"/>
      <x:c r="K680" s="32"/>
      <x:c r="L680" s="32"/>
      <x:c r="M680" s="32"/>
      <x:c r="N680" s="37"/>
      <x:c r="O680" s="32"/>
      <x:c r="P680" s="40"/>
      <x:c r="Q680" s="40"/>
      <x:c r="R680" s="41" t="str">
        <x:f>IF(OR(P680="",Q680=""),"",P680-Q680)</x:f>
      </x:c>
      <x:c r="S680" s="32"/>
      <x:c r="T680" s="32"/>
      <x:c r="U680" s="32"/>
      <x:c r="V680" s="32"/>
      <x:c r="W680" s="32"/>
      <x:c r="X680" s="32"/>
      <x:c r="Y680" s="43" t="str">
        <x:f>IF(OR(X680="",X680="Pending"),"",IF(X680="Rejected",0,IF(AND(U680="Ya",V680="Ya",W680="Ya"),1,"")))</x:f>
      </x:c>
      <x:c r="AA680" s="32"/>
      <x:c r="AB680" s="32"/>
      <x:c r="AC680" s="32"/>
      <x:c r="AD680" s="32"/>
      <x:c r="AE680" s="32"/>
      <x:c r="AF680" s="32"/>
      <x:c r="AG680" s="33" t="str">
        <x:f>IF(OR(AE680="",AF680=""),"",IF(AE680="Positif",IF(AF680="Positif","TP","FN"),IF(AF680="Positif","FP","TN")))</x:f>
      </x:c>
    </x:row>
    <x:row r="681">
      <x:c r="A681" s="32"/>
      <x:c r="B681" s="32"/>
      <x:c r="C681" s="32"/>
      <x:c r="D681" s="35"/>
      <x:c r="E681" s="32"/>
      <x:c r="F681" s="32"/>
      <x:c r="G681" s="32"/>
      <x:c r="H681" s="32"/>
      <x:c r="I681" s="32"/>
      <x:c r="J681" s="32"/>
      <x:c r="K681" s="32"/>
      <x:c r="L681" s="32"/>
      <x:c r="M681" s="32"/>
      <x:c r="N681" s="37"/>
      <x:c r="O681" s="32"/>
      <x:c r="P681" s="40"/>
      <x:c r="Q681" s="40"/>
      <x:c r="R681" s="41" t="str">
        <x:f>IF(OR(P681="",Q681=""),"",P681-Q681)</x:f>
      </x:c>
      <x:c r="S681" s="32"/>
      <x:c r="T681" s="32"/>
      <x:c r="U681" s="32"/>
      <x:c r="V681" s="32"/>
      <x:c r="W681" s="32"/>
      <x:c r="X681" s="32"/>
      <x:c r="Y681" s="43" t="str">
        <x:f>IF(OR(X681="",X681="Pending"),"",IF(X681="Rejected",0,IF(AND(U681="Ya",V681="Ya",W681="Ya"),1,"")))</x:f>
      </x:c>
      <x:c r="AA681" s="32"/>
      <x:c r="AB681" s="32"/>
      <x:c r="AC681" s="32"/>
      <x:c r="AD681" s="32"/>
      <x:c r="AE681" s="32"/>
      <x:c r="AF681" s="32"/>
      <x:c r="AG681" s="33" t="str">
        <x:f>IF(OR(AE681="",AF681=""),"",IF(AE681="Positif",IF(AF681="Positif","TP","FN"),IF(AF681="Positif","FP","TN")))</x:f>
      </x:c>
    </x:row>
    <x:row r="682">
      <x:c r="A682" s="32"/>
      <x:c r="B682" s="32"/>
      <x:c r="C682" s="32"/>
      <x:c r="D682" s="35"/>
      <x:c r="E682" s="32"/>
      <x:c r="F682" s="32"/>
      <x:c r="G682" s="32"/>
      <x:c r="H682" s="32"/>
      <x:c r="I682" s="32"/>
      <x:c r="J682" s="32"/>
      <x:c r="K682" s="32"/>
      <x:c r="L682" s="32"/>
      <x:c r="M682" s="32"/>
      <x:c r="N682" s="37"/>
      <x:c r="O682" s="32"/>
      <x:c r="P682" s="40"/>
      <x:c r="Q682" s="40"/>
      <x:c r="R682" s="41" t="str">
        <x:f>IF(OR(P682="",Q682=""),"",P682-Q682)</x:f>
      </x:c>
      <x:c r="S682" s="32"/>
      <x:c r="T682" s="32"/>
      <x:c r="U682" s="32"/>
      <x:c r="V682" s="32"/>
      <x:c r="W682" s="32"/>
      <x:c r="X682" s="32"/>
      <x:c r="Y682" s="43" t="str">
        <x:f>IF(OR(X682="",X682="Pending"),"",IF(X682="Rejected",0,IF(AND(U682="Ya",V682="Ya",W682="Ya"),1,"")))</x:f>
      </x:c>
      <x:c r="AA682" s="32"/>
      <x:c r="AB682" s="32"/>
      <x:c r="AC682" s="32"/>
      <x:c r="AD682" s="32"/>
      <x:c r="AE682" s="32"/>
      <x:c r="AF682" s="32"/>
      <x:c r="AG682" s="33" t="str">
        <x:f>IF(OR(AE682="",AF682=""),"",IF(AE682="Positif",IF(AF682="Positif","TP","FN"),IF(AF682="Positif","FP","TN")))</x:f>
      </x:c>
    </x:row>
    <x:row r="683">
      <x:c r="A683" s="32"/>
      <x:c r="B683" s="32"/>
      <x:c r="C683" s="32"/>
      <x:c r="D683" s="35"/>
      <x:c r="E683" s="32"/>
      <x:c r="F683" s="32"/>
      <x:c r="G683" s="32"/>
      <x:c r="H683" s="32"/>
      <x:c r="I683" s="32"/>
      <x:c r="J683" s="32"/>
      <x:c r="K683" s="32"/>
      <x:c r="L683" s="32"/>
      <x:c r="M683" s="32"/>
      <x:c r="N683" s="37"/>
      <x:c r="O683" s="32"/>
      <x:c r="P683" s="40"/>
      <x:c r="Q683" s="40"/>
      <x:c r="R683" s="41" t="str">
        <x:f>IF(OR(P683="",Q683=""),"",P683-Q683)</x:f>
      </x:c>
      <x:c r="S683" s="32"/>
      <x:c r="T683" s="32"/>
      <x:c r="U683" s="32"/>
      <x:c r="V683" s="32"/>
      <x:c r="W683" s="32"/>
      <x:c r="X683" s="32"/>
      <x:c r="Y683" s="43" t="str">
        <x:f>IF(OR(X683="",X683="Pending"),"",IF(X683="Rejected",0,IF(AND(U683="Ya",V683="Ya",W683="Ya"),1,"")))</x:f>
      </x:c>
      <x:c r="AA683" s="32"/>
      <x:c r="AB683" s="32"/>
      <x:c r="AC683" s="32"/>
      <x:c r="AD683" s="32"/>
      <x:c r="AE683" s="32"/>
      <x:c r="AF683" s="32"/>
      <x:c r="AG683" s="33" t="str">
        <x:f>IF(OR(AE683="",AF683=""),"",IF(AE683="Positif",IF(AF683="Positif","TP","FN"),IF(AF683="Positif","FP","TN")))</x:f>
      </x:c>
    </x:row>
    <x:row r="684">
      <x:c r="A684" s="32"/>
      <x:c r="B684" s="32"/>
      <x:c r="C684" s="32"/>
      <x:c r="D684" s="35"/>
      <x:c r="E684" s="32"/>
      <x:c r="F684" s="32"/>
      <x:c r="G684" s="32"/>
      <x:c r="H684" s="32"/>
      <x:c r="I684" s="32"/>
      <x:c r="J684" s="32"/>
      <x:c r="K684" s="32"/>
      <x:c r="L684" s="32"/>
      <x:c r="M684" s="32"/>
      <x:c r="N684" s="37"/>
      <x:c r="O684" s="32"/>
      <x:c r="P684" s="40"/>
      <x:c r="Q684" s="40"/>
      <x:c r="R684" s="41" t="str">
        <x:f>IF(OR(P684="",Q684=""),"",P684-Q684)</x:f>
      </x:c>
      <x:c r="S684" s="32"/>
      <x:c r="T684" s="32"/>
      <x:c r="U684" s="32"/>
      <x:c r="V684" s="32"/>
      <x:c r="W684" s="32"/>
      <x:c r="X684" s="32"/>
      <x:c r="Y684" s="43" t="str">
        <x:f>IF(OR(X684="",X684="Pending"),"",IF(X684="Rejected",0,IF(AND(U684="Ya",V684="Ya",W684="Ya"),1,"")))</x:f>
      </x:c>
      <x:c r="AA684" s="32"/>
      <x:c r="AB684" s="32"/>
      <x:c r="AC684" s="32"/>
      <x:c r="AD684" s="32"/>
      <x:c r="AE684" s="32"/>
      <x:c r="AF684" s="32"/>
      <x:c r="AG684" s="33" t="str">
        <x:f>IF(OR(AE684="",AF684=""),"",IF(AE684="Positif",IF(AF684="Positif","TP","FN"),IF(AF684="Positif","FP","TN")))</x:f>
      </x:c>
    </x:row>
    <x:row r="685">
      <x:c r="A685" s="32"/>
      <x:c r="B685" s="32"/>
      <x:c r="C685" s="32"/>
      <x:c r="D685" s="35"/>
      <x:c r="E685" s="32"/>
      <x:c r="F685" s="32"/>
      <x:c r="G685" s="32"/>
      <x:c r="H685" s="32"/>
      <x:c r="I685" s="32"/>
      <x:c r="J685" s="32"/>
      <x:c r="K685" s="32"/>
      <x:c r="L685" s="32"/>
      <x:c r="M685" s="32"/>
      <x:c r="N685" s="37"/>
      <x:c r="O685" s="32"/>
      <x:c r="P685" s="40"/>
      <x:c r="Q685" s="40"/>
      <x:c r="R685" s="41" t="str">
        <x:f>IF(OR(P685="",Q685=""),"",P685-Q685)</x:f>
      </x:c>
      <x:c r="S685" s="32"/>
      <x:c r="T685" s="32"/>
      <x:c r="U685" s="32"/>
      <x:c r="V685" s="32"/>
      <x:c r="W685" s="32"/>
      <x:c r="X685" s="32"/>
      <x:c r="Y685" s="43" t="str">
        <x:f>IF(OR(X685="",X685="Pending"),"",IF(X685="Rejected",0,IF(AND(U685="Ya",V685="Ya",W685="Ya"),1,"")))</x:f>
      </x:c>
      <x:c r="AA685" s="32"/>
      <x:c r="AB685" s="32"/>
      <x:c r="AC685" s="32"/>
      <x:c r="AD685" s="32"/>
      <x:c r="AE685" s="32"/>
      <x:c r="AF685" s="32"/>
      <x:c r="AG685" s="33" t="str">
        <x:f>IF(OR(AE685="",AF685=""),"",IF(AE685="Positif",IF(AF685="Positif","TP","FN"),IF(AF685="Positif","FP","TN")))</x:f>
      </x:c>
    </x:row>
    <x:row r="686">
      <x:c r="A686" s="32"/>
      <x:c r="B686" s="32"/>
      <x:c r="C686" s="32"/>
      <x:c r="D686" s="35"/>
      <x:c r="E686" s="32"/>
      <x:c r="F686" s="32"/>
      <x:c r="G686" s="32"/>
      <x:c r="H686" s="32"/>
      <x:c r="I686" s="32"/>
      <x:c r="J686" s="32"/>
      <x:c r="K686" s="32"/>
      <x:c r="L686" s="32"/>
      <x:c r="M686" s="32"/>
      <x:c r="N686" s="37"/>
      <x:c r="O686" s="32"/>
      <x:c r="P686" s="40"/>
      <x:c r="Q686" s="40"/>
      <x:c r="R686" s="41" t="str">
        <x:f>IF(OR(P686="",Q686=""),"",P686-Q686)</x:f>
      </x:c>
      <x:c r="S686" s="32"/>
      <x:c r="T686" s="32"/>
      <x:c r="U686" s="32"/>
      <x:c r="V686" s="32"/>
      <x:c r="W686" s="32"/>
      <x:c r="X686" s="32"/>
      <x:c r="Y686" s="43" t="str">
        <x:f>IF(OR(X686="",X686="Pending"),"",IF(X686="Rejected",0,IF(AND(U686="Ya",V686="Ya",W686="Ya"),1,"")))</x:f>
      </x:c>
      <x:c r="AA686" s="32"/>
      <x:c r="AB686" s="32"/>
      <x:c r="AC686" s="32"/>
      <x:c r="AD686" s="32"/>
      <x:c r="AE686" s="32"/>
      <x:c r="AF686" s="32"/>
      <x:c r="AG686" s="33" t="str">
        <x:f>IF(OR(AE686="",AF686=""),"",IF(AE686="Positif",IF(AF686="Positif","TP","FN"),IF(AF686="Positif","FP","TN")))</x:f>
      </x:c>
    </x:row>
    <x:row r="687">
      <x:c r="A687" s="32"/>
      <x:c r="B687" s="32"/>
      <x:c r="C687" s="32"/>
      <x:c r="D687" s="35"/>
      <x:c r="E687" s="32"/>
      <x:c r="F687" s="32"/>
      <x:c r="G687" s="32"/>
      <x:c r="H687" s="32"/>
      <x:c r="I687" s="32"/>
      <x:c r="J687" s="32"/>
      <x:c r="K687" s="32"/>
      <x:c r="L687" s="32"/>
      <x:c r="M687" s="32"/>
      <x:c r="N687" s="37"/>
      <x:c r="O687" s="32"/>
      <x:c r="P687" s="40"/>
      <x:c r="Q687" s="40"/>
      <x:c r="R687" s="41" t="str">
        <x:f>IF(OR(P687="",Q687=""),"",P687-Q687)</x:f>
      </x:c>
      <x:c r="S687" s="32"/>
      <x:c r="T687" s="32"/>
      <x:c r="U687" s="32"/>
      <x:c r="V687" s="32"/>
      <x:c r="W687" s="32"/>
      <x:c r="X687" s="32"/>
      <x:c r="Y687" s="43" t="str">
        <x:f>IF(OR(X687="",X687="Pending"),"",IF(X687="Rejected",0,IF(AND(U687="Ya",V687="Ya",W687="Ya"),1,"")))</x:f>
      </x:c>
      <x:c r="AA687" s="32"/>
      <x:c r="AB687" s="32"/>
      <x:c r="AC687" s="32"/>
      <x:c r="AD687" s="32"/>
      <x:c r="AE687" s="32"/>
      <x:c r="AF687" s="32"/>
      <x:c r="AG687" s="33" t="str">
        <x:f>IF(OR(AE687="",AF687=""),"",IF(AE687="Positif",IF(AF687="Positif","TP","FN"),IF(AF687="Positif","FP","TN")))</x:f>
      </x:c>
    </x:row>
    <x:row r="688">
      <x:c r="A688" s="32"/>
      <x:c r="B688" s="32"/>
      <x:c r="C688" s="32"/>
      <x:c r="D688" s="35"/>
      <x:c r="E688" s="32"/>
      <x:c r="F688" s="32"/>
      <x:c r="G688" s="32"/>
      <x:c r="H688" s="32"/>
      <x:c r="I688" s="32"/>
      <x:c r="J688" s="32"/>
      <x:c r="K688" s="32"/>
      <x:c r="L688" s="32"/>
      <x:c r="M688" s="32"/>
      <x:c r="N688" s="37"/>
      <x:c r="O688" s="32"/>
      <x:c r="P688" s="40"/>
      <x:c r="Q688" s="40"/>
      <x:c r="R688" s="41" t="str">
        <x:f>IF(OR(P688="",Q688=""),"",P688-Q688)</x:f>
      </x:c>
      <x:c r="S688" s="32"/>
      <x:c r="T688" s="32"/>
      <x:c r="U688" s="32"/>
      <x:c r="V688" s="32"/>
      <x:c r="W688" s="32"/>
      <x:c r="X688" s="32"/>
      <x:c r="Y688" s="43" t="str">
        <x:f>IF(OR(X688="",X688="Pending"),"",IF(X688="Rejected",0,IF(AND(U688="Ya",V688="Ya",W688="Ya"),1,"")))</x:f>
      </x:c>
      <x:c r="AA688" s="32"/>
      <x:c r="AB688" s="32"/>
      <x:c r="AC688" s="32"/>
      <x:c r="AD688" s="32"/>
      <x:c r="AE688" s="32"/>
      <x:c r="AF688" s="32"/>
      <x:c r="AG688" s="33" t="str">
        <x:f>IF(OR(AE688="",AF688=""),"",IF(AE688="Positif",IF(AF688="Positif","TP","FN"),IF(AF688="Positif","FP","TN")))</x:f>
      </x:c>
    </x:row>
    <x:row r="689">
      <x:c r="A689" s="32"/>
      <x:c r="B689" s="32"/>
      <x:c r="C689" s="32"/>
      <x:c r="D689" s="35"/>
      <x:c r="E689" s="32"/>
      <x:c r="F689" s="32"/>
      <x:c r="G689" s="32"/>
      <x:c r="H689" s="32"/>
      <x:c r="I689" s="32"/>
      <x:c r="J689" s="32"/>
      <x:c r="K689" s="32"/>
      <x:c r="L689" s="32"/>
      <x:c r="M689" s="32"/>
      <x:c r="N689" s="37"/>
      <x:c r="O689" s="32"/>
      <x:c r="P689" s="40"/>
      <x:c r="Q689" s="40"/>
      <x:c r="R689" s="41" t="str">
        <x:f>IF(OR(P689="",Q689=""),"",P689-Q689)</x:f>
      </x:c>
      <x:c r="S689" s="32"/>
      <x:c r="T689" s="32"/>
      <x:c r="U689" s="32"/>
      <x:c r="V689" s="32"/>
      <x:c r="W689" s="32"/>
      <x:c r="X689" s="32"/>
      <x:c r="Y689" s="43" t="str">
        <x:f>IF(OR(X689="",X689="Pending"),"",IF(X689="Rejected",0,IF(AND(U689="Ya",V689="Ya",W689="Ya"),1,"")))</x:f>
      </x:c>
      <x:c r="AA689" s="32"/>
      <x:c r="AB689" s="32"/>
      <x:c r="AC689" s="32"/>
      <x:c r="AD689" s="32"/>
      <x:c r="AE689" s="32"/>
      <x:c r="AF689" s="32"/>
      <x:c r="AG689" s="33" t="str">
        <x:f>IF(OR(AE689="",AF689=""),"",IF(AE689="Positif",IF(AF689="Positif","TP","FN"),IF(AF689="Positif","FP","TN")))</x:f>
      </x:c>
    </x:row>
    <x:row r="690">
      <x:c r="A690" s="32"/>
      <x:c r="B690" s="32"/>
      <x:c r="C690" s="32"/>
      <x:c r="D690" s="35"/>
      <x:c r="E690" s="32"/>
      <x:c r="F690" s="32"/>
      <x:c r="G690" s="32"/>
      <x:c r="H690" s="32"/>
      <x:c r="I690" s="32"/>
      <x:c r="J690" s="32"/>
      <x:c r="K690" s="32"/>
      <x:c r="L690" s="32"/>
      <x:c r="M690" s="32"/>
      <x:c r="N690" s="37"/>
      <x:c r="O690" s="32"/>
      <x:c r="P690" s="40"/>
      <x:c r="Q690" s="40"/>
      <x:c r="R690" s="41" t="str">
        <x:f>IF(OR(P690="",Q690=""),"",P690-Q690)</x:f>
      </x:c>
      <x:c r="S690" s="32"/>
      <x:c r="T690" s="32"/>
      <x:c r="U690" s="32"/>
      <x:c r="V690" s="32"/>
      <x:c r="W690" s="32"/>
      <x:c r="X690" s="32"/>
      <x:c r="Y690" s="43" t="str">
        <x:f>IF(OR(X690="",X690="Pending"),"",IF(X690="Rejected",0,IF(AND(U690="Ya",V690="Ya",W690="Ya"),1,"")))</x:f>
      </x:c>
      <x:c r="AA690" s="32"/>
      <x:c r="AB690" s="32"/>
      <x:c r="AC690" s="32"/>
      <x:c r="AD690" s="32"/>
      <x:c r="AE690" s="32"/>
      <x:c r="AF690" s="32"/>
      <x:c r="AG690" s="33" t="str">
        <x:f>IF(OR(AE690="",AF690=""),"",IF(AE690="Positif",IF(AF690="Positif","TP","FN"),IF(AF690="Positif","FP","TN")))</x:f>
      </x:c>
    </x:row>
    <x:row r="691">
      <x:c r="A691" s="32"/>
      <x:c r="B691" s="32"/>
      <x:c r="C691" s="32"/>
      <x:c r="D691" s="35"/>
      <x:c r="E691" s="32"/>
      <x:c r="F691" s="32"/>
      <x:c r="G691" s="32"/>
      <x:c r="H691" s="32"/>
      <x:c r="I691" s="32"/>
      <x:c r="J691" s="32"/>
      <x:c r="K691" s="32"/>
      <x:c r="L691" s="32"/>
      <x:c r="M691" s="32"/>
      <x:c r="N691" s="37"/>
      <x:c r="O691" s="32"/>
      <x:c r="P691" s="40"/>
      <x:c r="Q691" s="40"/>
      <x:c r="R691" s="41" t="str">
        <x:f>IF(OR(P691="",Q691=""),"",P691-Q691)</x:f>
      </x:c>
      <x:c r="S691" s="32"/>
      <x:c r="T691" s="32"/>
      <x:c r="U691" s="32"/>
      <x:c r="V691" s="32"/>
      <x:c r="W691" s="32"/>
      <x:c r="X691" s="32"/>
      <x:c r="Y691" s="43" t="str">
        <x:f>IF(OR(X691="",X691="Pending"),"",IF(X691="Rejected",0,IF(AND(U691="Ya",V691="Ya",W691="Ya"),1,"")))</x:f>
      </x:c>
      <x:c r="AA691" s="32"/>
      <x:c r="AB691" s="32"/>
      <x:c r="AC691" s="32"/>
      <x:c r="AD691" s="32"/>
      <x:c r="AE691" s="32"/>
      <x:c r="AF691" s="32"/>
      <x:c r="AG691" s="33" t="str">
        <x:f>IF(OR(AE691="",AF691=""),"",IF(AE691="Positif",IF(AF691="Positif","TP","FN"),IF(AF691="Positif","FP","TN")))</x:f>
      </x:c>
    </x:row>
    <x:row r="692">
      <x:c r="A692" s="32"/>
      <x:c r="B692" s="32"/>
      <x:c r="C692" s="32"/>
      <x:c r="D692" s="35"/>
      <x:c r="E692" s="32"/>
      <x:c r="F692" s="32"/>
      <x:c r="G692" s="32"/>
      <x:c r="H692" s="32"/>
      <x:c r="I692" s="32"/>
      <x:c r="J692" s="32"/>
      <x:c r="K692" s="32"/>
      <x:c r="L692" s="32"/>
      <x:c r="M692" s="32"/>
      <x:c r="N692" s="37"/>
      <x:c r="O692" s="32"/>
      <x:c r="P692" s="40"/>
      <x:c r="Q692" s="40"/>
      <x:c r="R692" s="41" t="str">
        <x:f>IF(OR(P692="",Q692=""),"",P692-Q692)</x:f>
      </x:c>
      <x:c r="S692" s="32"/>
      <x:c r="T692" s="32"/>
      <x:c r="U692" s="32"/>
      <x:c r="V692" s="32"/>
      <x:c r="W692" s="32"/>
      <x:c r="X692" s="32"/>
      <x:c r="Y692" s="43" t="str">
        <x:f>IF(OR(X692="",X692="Pending"),"",IF(X692="Rejected",0,IF(AND(U692="Ya",V692="Ya",W692="Ya"),1,"")))</x:f>
      </x:c>
      <x:c r="AA692" s="32"/>
      <x:c r="AB692" s="32"/>
      <x:c r="AC692" s="32"/>
      <x:c r="AD692" s="32"/>
      <x:c r="AE692" s="32"/>
      <x:c r="AF692" s="32"/>
      <x:c r="AG692" s="33" t="str">
        <x:f>IF(OR(AE692="",AF692=""),"",IF(AE692="Positif",IF(AF692="Positif","TP","FN"),IF(AF692="Positif","FP","TN")))</x:f>
      </x:c>
    </x:row>
    <x:row r="693">
      <x:c r="A693" s="32"/>
      <x:c r="B693" s="32"/>
      <x:c r="C693" s="32"/>
      <x:c r="D693" s="35"/>
      <x:c r="E693" s="32"/>
      <x:c r="F693" s="32"/>
      <x:c r="G693" s="32"/>
      <x:c r="H693" s="32"/>
      <x:c r="I693" s="32"/>
      <x:c r="J693" s="32"/>
      <x:c r="K693" s="32"/>
      <x:c r="L693" s="32"/>
      <x:c r="M693" s="32"/>
      <x:c r="N693" s="37"/>
      <x:c r="O693" s="32"/>
      <x:c r="P693" s="40"/>
      <x:c r="Q693" s="40"/>
      <x:c r="R693" s="41" t="str">
        <x:f>IF(OR(P693="",Q693=""),"",P693-Q693)</x:f>
      </x:c>
      <x:c r="S693" s="32"/>
      <x:c r="T693" s="32"/>
      <x:c r="U693" s="32"/>
      <x:c r="V693" s="32"/>
      <x:c r="W693" s="32"/>
      <x:c r="X693" s="32"/>
      <x:c r="Y693" s="43" t="str">
        <x:f>IF(OR(X693="",X693="Pending"),"",IF(X693="Rejected",0,IF(AND(U693="Ya",V693="Ya",W693="Ya"),1,"")))</x:f>
      </x:c>
      <x:c r="AA693" s="32"/>
      <x:c r="AB693" s="32"/>
      <x:c r="AC693" s="32"/>
      <x:c r="AD693" s="32"/>
      <x:c r="AE693" s="32"/>
      <x:c r="AF693" s="32"/>
      <x:c r="AG693" s="33" t="str">
        <x:f>IF(OR(AE693="",AF693=""),"",IF(AE693="Positif",IF(AF693="Positif","TP","FN"),IF(AF693="Positif","FP","TN")))</x:f>
      </x:c>
    </x:row>
    <x:row r="694">
      <x:c r="A694" s="32"/>
      <x:c r="B694" s="32"/>
      <x:c r="C694" s="32"/>
      <x:c r="D694" s="35"/>
      <x:c r="E694" s="32"/>
      <x:c r="F694" s="32"/>
      <x:c r="G694" s="32"/>
      <x:c r="H694" s="32"/>
      <x:c r="I694" s="32"/>
      <x:c r="J694" s="32"/>
      <x:c r="K694" s="32"/>
      <x:c r="L694" s="32"/>
      <x:c r="M694" s="32"/>
      <x:c r="N694" s="37"/>
      <x:c r="O694" s="32"/>
      <x:c r="P694" s="40"/>
      <x:c r="Q694" s="40"/>
      <x:c r="R694" s="41" t="str">
        <x:f>IF(OR(P694="",Q694=""),"",P694-Q694)</x:f>
      </x:c>
      <x:c r="S694" s="32"/>
      <x:c r="T694" s="32"/>
      <x:c r="U694" s="32"/>
      <x:c r="V694" s="32"/>
      <x:c r="W694" s="32"/>
      <x:c r="X694" s="32"/>
      <x:c r="Y694" s="43" t="str">
        <x:f>IF(OR(X694="",X694="Pending"),"",IF(X694="Rejected",0,IF(AND(U694="Ya",V694="Ya",W694="Ya"),1,"")))</x:f>
      </x:c>
      <x:c r="AA694" s="32"/>
      <x:c r="AB694" s="32"/>
      <x:c r="AC694" s="32"/>
      <x:c r="AD694" s="32"/>
      <x:c r="AE694" s="32"/>
      <x:c r="AF694" s="32"/>
      <x:c r="AG694" s="33" t="str">
        <x:f>IF(OR(AE694="",AF694=""),"",IF(AE694="Positif",IF(AF694="Positif","TP","FN"),IF(AF694="Positif","FP","TN")))</x:f>
      </x:c>
    </x:row>
    <x:row r="695">
      <x:c r="A695" s="32"/>
      <x:c r="B695" s="32"/>
      <x:c r="C695" s="32"/>
      <x:c r="D695" s="35"/>
      <x:c r="E695" s="32"/>
      <x:c r="F695" s="32"/>
      <x:c r="G695" s="32"/>
      <x:c r="H695" s="32"/>
      <x:c r="I695" s="32"/>
      <x:c r="J695" s="32"/>
      <x:c r="K695" s="32"/>
      <x:c r="L695" s="32"/>
      <x:c r="M695" s="32"/>
      <x:c r="N695" s="37"/>
      <x:c r="O695" s="32"/>
      <x:c r="P695" s="40"/>
      <x:c r="Q695" s="40"/>
      <x:c r="R695" s="41" t="str">
        <x:f>IF(OR(P695="",Q695=""),"",P695-Q695)</x:f>
      </x:c>
      <x:c r="S695" s="32"/>
      <x:c r="T695" s="32"/>
      <x:c r="U695" s="32"/>
      <x:c r="V695" s="32"/>
      <x:c r="W695" s="32"/>
      <x:c r="X695" s="32"/>
      <x:c r="Y695" s="43" t="str">
        <x:f>IF(OR(X695="",X695="Pending"),"",IF(X695="Rejected",0,IF(AND(U695="Ya",V695="Ya",W695="Ya"),1,"")))</x:f>
      </x:c>
      <x:c r="AA695" s="32"/>
      <x:c r="AB695" s="32"/>
      <x:c r="AC695" s="32"/>
      <x:c r="AD695" s="32"/>
      <x:c r="AE695" s="32"/>
      <x:c r="AF695" s="32"/>
      <x:c r="AG695" s="33" t="str">
        <x:f>IF(OR(AE695="",AF695=""),"",IF(AE695="Positif",IF(AF695="Positif","TP","FN"),IF(AF695="Positif","FP","TN")))</x:f>
      </x:c>
    </x:row>
    <x:row r="696">
      <x:c r="A696" s="32"/>
      <x:c r="B696" s="32"/>
      <x:c r="C696" s="32"/>
      <x:c r="D696" s="35"/>
      <x:c r="E696" s="32"/>
      <x:c r="F696" s="32"/>
      <x:c r="G696" s="32"/>
      <x:c r="H696" s="32"/>
      <x:c r="I696" s="32"/>
      <x:c r="J696" s="32"/>
      <x:c r="K696" s="32"/>
      <x:c r="L696" s="32"/>
      <x:c r="M696" s="32"/>
      <x:c r="N696" s="37"/>
      <x:c r="O696" s="32"/>
      <x:c r="P696" s="40"/>
      <x:c r="Q696" s="40"/>
      <x:c r="R696" s="41" t="str">
        <x:f>IF(OR(P696="",Q696=""),"",P696-Q696)</x:f>
      </x:c>
      <x:c r="S696" s="32"/>
      <x:c r="T696" s="32"/>
      <x:c r="U696" s="32"/>
      <x:c r="V696" s="32"/>
      <x:c r="W696" s="32"/>
      <x:c r="X696" s="32"/>
      <x:c r="Y696" s="43" t="str">
        <x:f>IF(OR(X696="",X696="Pending"),"",IF(X696="Rejected",0,IF(AND(U696="Ya",V696="Ya",W696="Ya"),1,"")))</x:f>
      </x:c>
      <x:c r="AA696" s="32"/>
      <x:c r="AB696" s="32"/>
      <x:c r="AC696" s="32"/>
      <x:c r="AD696" s="32"/>
      <x:c r="AE696" s="32"/>
      <x:c r="AF696" s="32"/>
      <x:c r="AG696" s="33" t="str">
        <x:f>IF(OR(AE696="",AF696=""),"",IF(AE696="Positif",IF(AF696="Positif","TP","FN"),IF(AF696="Positif","FP","TN")))</x:f>
      </x:c>
    </x:row>
    <x:row r="697">
      <x:c r="A697" s="32"/>
      <x:c r="B697" s="32"/>
      <x:c r="C697" s="32"/>
      <x:c r="D697" s="35"/>
      <x:c r="E697" s="32"/>
      <x:c r="F697" s="32"/>
      <x:c r="G697" s="32"/>
      <x:c r="H697" s="32"/>
      <x:c r="I697" s="32"/>
      <x:c r="J697" s="32"/>
      <x:c r="K697" s="32"/>
      <x:c r="L697" s="32"/>
      <x:c r="M697" s="32"/>
      <x:c r="N697" s="37"/>
      <x:c r="O697" s="32"/>
      <x:c r="P697" s="40"/>
      <x:c r="Q697" s="40"/>
      <x:c r="R697" s="41" t="str">
        <x:f>IF(OR(P697="",Q697=""),"",P697-Q697)</x:f>
      </x:c>
      <x:c r="S697" s="32"/>
      <x:c r="T697" s="32"/>
      <x:c r="U697" s="32"/>
      <x:c r="V697" s="32"/>
      <x:c r="W697" s="32"/>
      <x:c r="X697" s="32"/>
      <x:c r="Y697" s="43" t="str">
        <x:f>IF(OR(X697="",X697="Pending"),"",IF(X697="Rejected",0,IF(AND(U697="Ya",V697="Ya",W697="Ya"),1,"")))</x:f>
      </x:c>
      <x:c r="AA697" s="32"/>
      <x:c r="AB697" s="32"/>
      <x:c r="AC697" s="32"/>
      <x:c r="AD697" s="32"/>
      <x:c r="AE697" s="32"/>
      <x:c r="AF697" s="32"/>
      <x:c r="AG697" s="33" t="str">
        <x:f>IF(OR(AE697="",AF697=""),"",IF(AE697="Positif",IF(AF697="Positif","TP","FN"),IF(AF697="Positif","FP","TN")))</x:f>
      </x:c>
    </x:row>
    <x:row r="698">
      <x:c r="A698" s="32"/>
      <x:c r="B698" s="32"/>
      <x:c r="C698" s="32"/>
      <x:c r="D698" s="35"/>
      <x:c r="E698" s="32"/>
      <x:c r="F698" s="32"/>
      <x:c r="G698" s="32"/>
      <x:c r="H698" s="32"/>
      <x:c r="I698" s="32"/>
      <x:c r="J698" s="32"/>
      <x:c r="K698" s="32"/>
      <x:c r="L698" s="32"/>
      <x:c r="M698" s="32"/>
      <x:c r="N698" s="37"/>
      <x:c r="O698" s="32"/>
      <x:c r="P698" s="40"/>
      <x:c r="Q698" s="40"/>
      <x:c r="R698" s="41" t="str">
        <x:f>IF(OR(P698="",Q698=""),"",P698-Q698)</x:f>
      </x:c>
      <x:c r="S698" s="32"/>
      <x:c r="T698" s="32"/>
      <x:c r="U698" s="32"/>
      <x:c r="V698" s="32"/>
      <x:c r="W698" s="32"/>
      <x:c r="X698" s="32"/>
      <x:c r="Y698" s="43" t="str">
        <x:f>IF(OR(X698="",X698="Pending"),"",IF(X698="Rejected",0,IF(AND(U698="Ya",V698="Ya",W698="Ya"),1,"")))</x:f>
      </x:c>
      <x:c r="AA698" s="32"/>
      <x:c r="AB698" s="32"/>
      <x:c r="AC698" s="32"/>
      <x:c r="AD698" s="32"/>
      <x:c r="AE698" s="32"/>
      <x:c r="AF698" s="32"/>
      <x:c r="AG698" s="33" t="str">
        <x:f>IF(OR(AE698="",AF698=""),"",IF(AE698="Positif",IF(AF698="Positif","TP","FN"),IF(AF698="Positif","FP","TN")))</x:f>
      </x:c>
    </x:row>
    <x:row r="699">
      <x:c r="A699" s="32"/>
      <x:c r="B699" s="32"/>
      <x:c r="C699" s="32"/>
      <x:c r="D699" s="35"/>
      <x:c r="E699" s="32"/>
      <x:c r="F699" s="32"/>
      <x:c r="G699" s="32"/>
      <x:c r="H699" s="32"/>
      <x:c r="I699" s="32"/>
      <x:c r="J699" s="32"/>
      <x:c r="K699" s="32"/>
      <x:c r="L699" s="32"/>
      <x:c r="M699" s="32"/>
      <x:c r="N699" s="37"/>
      <x:c r="O699" s="32"/>
      <x:c r="P699" s="40"/>
      <x:c r="Q699" s="40"/>
      <x:c r="R699" s="41" t="str">
        <x:f>IF(OR(P699="",Q699=""),"",P699-Q699)</x:f>
      </x:c>
      <x:c r="S699" s="32"/>
      <x:c r="T699" s="32"/>
      <x:c r="U699" s="32"/>
      <x:c r="V699" s="32"/>
      <x:c r="W699" s="32"/>
      <x:c r="X699" s="32"/>
      <x:c r="Y699" s="43" t="str">
        <x:f>IF(OR(X699="",X699="Pending"),"",IF(X699="Rejected",0,IF(AND(U699="Ya",V699="Ya",W699="Ya"),1,"")))</x:f>
      </x:c>
      <x:c r="AA699" s="32"/>
      <x:c r="AB699" s="32"/>
      <x:c r="AC699" s="32"/>
      <x:c r="AD699" s="32"/>
      <x:c r="AE699" s="32"/>
      <x:c r="AF699" s="32"/>
      <x:c r="AG699" s="33" t="str">
        <x:f>IF(OR(AE699="",AF699=""),"",IF(AE699="Positif",IF(AF699="Positif","TP","FN"),IF(AF699="Positif","FP","TN")))</x:f>
      </x:c>
    </x:row>
    <x:row r="700">
      <x:c r="A700" s="32"/>
      <x:c r="B700" s="32"/>
      <x:c r="C700" s="32"/>
      <x:c r="D700" s="35"/>
      <x:c r="E700" s="32"/>
      <x:c r="F700" s="32"/>
      <x:c r="G700" s="32"/>
      <x:c r="H700" s="32"/>
      <x:c r="I700" s="32"/>
      <x:c r="J700" s="32"/>
      <x:c r="K700" s="32"/>
      <x:c r="L700" s="32"/>
      <x:c r="M700" s="32"/>
      <x:c r="N700" s="37"/>
      <x:c r="O700" s="32"/>
      <x:c r="P700" s="40"/>
      <x:c r="Q700" s="40"/>
      <x:c r="R700" s="41" t="str">
        <x:f>IF(OR(P700="",Q700=""),"",P700-Q700)</x:f>
      </x:c>
      <x:c r="S700" s="32"/>
      <x:c r="T700" s="32"/>
      <x:c r="U700" s="32"/>
      <x:c r="V700" s="32"/>
      <x:c r="W700" s="32"/>
      <x:c r="X700" s="32"/>
      <x:c r="Y700" s="43" t="str">
        <x:f>IF(OR(X700="",X700="Pending"),"",IF(X700="Rejected",0,IF(AND(U700="Ya",V700="Ya",W700="Ya"),1,"")))</x:f>
      </x:c>
      <x:c r="AA700" s="32"/>
      <x:c r="AB700" s="32"/>
      <x:c r="AC700" s="32"/>
      <x:c r="AD700" s="32"/>
      <x:c r="AE700" s="32"/>
      <x:c r="AF700" s="32"/>
      <x:c r="AG700" s="33" t="str">
        <x:f>IF(OR(AE700="",AF700=""),"",IF(AE700="Positif",IF(AF700="Positif","TP","FN"),IF(AF700="Positif","FP","TN")))</x:f>
      </x:c>
    </x:row>
    <x:row r="701">
      <x:c r="A701" s="32"/>
      <x:c r="B701" s="32"/>
      <x:c r="C701" s="32"/>
      <x:c r="D701" s="35"/>
      <x:c r="E701" s="32"/>
      <x:c r="F701" s="32"/>
      <x:c r="G701" s="32"/>
      <x:c r="H701" s="32"/>
      <x:c r="I701" s="32"/>
      <x:c r="J701" s="32"/>
      <x:c r="K701" s="32"/>
      <x:c r="L701" s="32"/>
      <x:c r="M701" s="32"/>
      <x:c r="N701" s="37"/>
      <x:c r="O701" s="32"/>
      <x:c r="P701" s="40"/>
      <x:c r="Q701" s="40"/>
      <x:c r="R701" s="41" t="str">
        <x:f>IF(OR(P701="",Q701=""),"",P701-Q701)</x:f>
      </x:c>
      <x:c r="S701" s="32"/>
      <x:c r="T701" s="32"/>
      <x:c r="U701" s="32"/>
      <x:c r="V701" s="32"/>
      <x:c r="W701" s="32"/>
      <x:c r="X701" s="32"/>
      <x:c r="Y701" s="43" t="str">
        <x:f>IF(OR(X701="",X701="Pending"),"",IF(X701="Rejected",0,IF(AND(U701="Ya",V701="Ya",W701="Ya"),1,"")))</x:f>
      </x:c>
      <x:c r="AA701" s="32"/>
      <x:c r="AB701" s="32"/>
      <x:c r="AC701" s="32"/>
      <x:c r="AD701" s="32"/>
      <x:c r="AE701" s="32"/>
      <x:c r="AF701" s="32"/>
      <x:c r="AG701" s="33" t="str">
        <x:f>IF(OR(AE701="",AF701=""),"",IF(AE701="Positif",IF(AF701="Positif","TP","FN"),IF(AF701="Positif","FP","TN")))</x:f>
      </x:c>
    </x:row>
    <x:row r="702">
      <x:c r="A702" s="32"/>
      <x:c r="B702" s="32"/>
      <x:c r="C702" s="32"/>
      <x:c r="D702" s="35"/>
      <x:c r="E702" s="32"/>
      <x:c r="F702" s="32"/>
      <x:c r="G702" s="32"/>
      <x:c r="H702" s="32"/>
      <x:c r="I702" s="32"/>
      <x:c r="J702" s="32"/>
      <x:c r="K702" s="32"/>
      <x:c r="L702" s="32"/>
      <x:c r="M702" s="32"/>
      <x:c r="N702" s="37"/>
      <x:c r="O702" s="32"/>
      <x:c r="P702" s="40"/>
      <x:c r="Q702" s="40"/>
      <x:c r="R702" s="41" t="str">
        <x:f>IF(OR(P702="",Q702=""),"",P702-Q702)</x:f>
      </x:c>
      <x:c r="S702" s="32"/>
      <x:c r="T702" s="32"/>
      <x:c r="U702" s="32"/>
      <x:c r="V702" s="32"/>
      <x:c r="W702" s="32"/>
      <x:c r="X702" s="32"/>
      <x:c r="Y702" s="43" t="str">
        <x:f>IF(OR(X702="",X702="Pending"),"",IF(X702="Rejected",0,IF(AND(U702="Ya",V702="Ya",W702="Ya"),1,"")))</x:f>
      </x:c>
      <x:c r="AA702" s="32"/>
      <x:c r="AB702" s="32"/>
      <x:c r="AC702" s="32"/>
      <x:c r="AD702" s="32"/>
      <x:c r="AE702" s="32"/>
      <x:c r="AF702" s="32"/>
      <x:c r="AG702" s="33" t="str">
        <x:f>IF(OR(AE702="",AF702=""),"",IF(AE702="Positif",IF(AF702="Positif","TP","FN"),IF(AF702="Positif","FP","TN")))</x:f>
      </x:c>
    </x:row>
    <x:row r="703">
      <x:c r="A703" s="32"/>
      <x:c r="B703" s="32"/>
      <x:c r="C703" s="32"/>
      <x:c r="D703" s="35"/>
      <x:c r="E703" s="32"/>
      <x:c r="F703" s="32"/>
      <x:c r="G703" s="32"/>
      <x:c r="H703" s="32"/>
      <x:c r="I703" s="32"/>
      <x:c r="J703" s="32"/>
      <x:c r="K703" s="32"/>
      <x:c r="L703" s="32"/>
      <x:c r="M703" s="32"/>
      <x:c r="N703" s="37"/>
      <x:c r="O703" s="32"/>
      <x:c r="P703" s="40"/>
      <x:c r="Q703" s="40"/>
      <x:c r="R703" s="41" t="str">
        <x:f>IF(OR(P703="",Q703=""),"",P703-Q703)</x:f>
      </x:c>
      <x:c r="S703" s="32"/>
      <x:c r="T703" s="32"/>
      <x:c r="U703" s="32"/>
      <x:c r="V703" s="32"/>
      <x:c r="W703" s="32"/>
      <x:c r="X703" s="32"/>
      <x:c r="Y703" s="43" t="str">
        <x:f>IF(OR(X703="",X703="Pending"),"",IF(X703="Rejected",0,IF(AND(U703="Ya",V703="Ya",W703="Ya"),1,"")))</x:f>
      </x:c>
      <x:c r="AA703" s="32"/>
      <x:c r="AB703" s="32"/>
      <x:c r="AC703" s="32"/>
      <x:c r="AD703" s="32"/>
      <x:c r="AE703" s="32"/>
      <x:c r="AF703" s="32"/>
      <x:c r="AG703" s="33" t="str">
        <x:f>IF(OR(AE703="",AF703=""),"",IF(AE703="Positif",IF(AF703="Positif","TP","FN"),IF(AF703="Positif","FP","TN")))</x:f>
      </x:c>
    </x:row>
    <x:row r="704">
      <x:c r="A704" s="32"/>
      <x:c r="B704" s="32"/>
      <x:c r="C704" s="32"/>
      <x:c r="D704" s="35"/>
      <x:c r="E704" s="32"/>
      <x:c r="F704" s="32"/>
      <x:c r="G704" s="32"/>
      <x:c r="H704" s="32"/>
      <x:c r="I704" s="32"/>
      <x:c r="J704" s="32"/>
      <x:c r="K704" s="32"/>
      <x:c r="L704" s="32"/>
      <x:c r="M704" s="32"/>
      <x:c r="N704" s="37"/>
      <x:c r="O704" s="32"/>
      <x:c r="P704" s="40"/>
      <x:c r="Q704" s="40"/>
      <x:c r="R704" s="41" t="str">
        <x:f>IF(OR(P704="",Q704=""),"",P704-Q704)</x:f>
      </x:c>
      <x:c r="S704" s="32"/>
      <x:c r="T704" s="32"/>
      <x:c r="U704" s="32"/>
      <x:c r="V704" s="32"/>
      <x:c r="W704" s="32"/>
      <x:c r="X704" s="32"/>
      <x:c r="Y704" s="43" t="str">
        <x:f>IF(OR(X704="",X704="Pending"),"",IF(X704="Rejected",0,IF(AND(U704="Ya",V704="Ya",W704="Ya"),1,"")))</x:f>
      </x:c>
      <x:c r="AA704" s="32"/>
      <x:c r="AB704" s="32"/>
      <x:c r="AC704" s="32"/>
      <x:c r="AD704" s="32"/>
      <x:c r="AE704" s="32"/>
      <x:c r="AF704" s="32"/>
      <x:c r="AG704" s="33" t="str">
        <x:f>IF(OR(AE704="",AF704=""),"",IF(AE704="Positif",IF(AF704="Positif","TP","FN"),IF(AF704="Positif","FP","TN")))</x:f>
      </x:c>
    </x:row>
    <x:row r="705">
      <x:c r="A705" s="32"/>
      <x:c r="B705" s="32"/>
      <x:c r="C705" s="32"/>
      <x:c r="D705" s="35"/>
      <x:c r="E705" s="32"/>
      <x:c r="F705" s="32"/>
      <x:c r="G705" s="32"/>
      <x:c r="H705" s="32"/>
      <x:c r="I705" s="32"/>
      <x:c r="J705" s="32"/>
      <x:c r="K705" s="32"/>
      <x:c r="L705" s="32"/>
      <x:c r="M705" s="32"/>
      <x:c r="N705" s="37"/>
      <x:c r="O705" s="32"/>
      <x:c r="P705" s="40"/>
      <x:c r="Q705" s="40"/>
      <x:c r="R705" s="41" t="str">
        <x:f>IF(OR(P705="",Q705=""),"",P705-Q705)</x:f>
      </x:c>
      <x:c r="S705" s="32"/>
      <x:c r="T705" s="32"/>
      <x:c r="U705" s="32"/>
      <x:c r="V705" s="32"/>
      <x:c r="W705" s="32"/>
      <x:c r="X705" s="32"/>
      <x:c r="Y705" s="43" t="str">
        <x:f>IF(OR(X705="",X705="Pending"),"",IF(X705="Rejected",0,IF(AND(U705="Ya",V705="Ya",W705="Ya"),1,"")))</x:f>
      </x:c>
      <x:c r="AA705" s="32"/>
      <x:c r="AB705" s="32"/>
      <x:c r="AC705" s="32"/>
      <x:c r="AD705" s="32"/>
      <x:c r="AE705" s="32"/>
      <x:c r="AF705" s="32"/>
      <x:c r="AG705" s="33" t="str">
        <x:f>IF(OR(AE705="",AF705=""),"",IF(AE705="Positif",IF(AF705="Positif","TP","FN"),IF(AF705="Positif","FP","TN")))</x:f>
      </x:c>
    </x:row>
    <x:row r="706">
      <x:c r="A706" s="32"/>
      <x:c r="B706" s="32"/>
      <x:c r="C706" s="32"/>
      <x:c r="D706" s="35"/>
      <x:c r="E706" s="32"/>
      <x:c r="F706" s="32"/>
      <x:c r="G706" s="32"/>
      <x:c r="H706" s="32"/>
      <x:c r="I706" s="32"/>
      <x:c r="J706" s="32"/>
      <x:c r="K706" s="32"/>
      <x:c r="L706" s="32"/>
      <x:c r="M706" s="32"/>
      <x:c r="N706" s="37"/>
      <x:c r="O706" s="32"/>
      <x:c r="P706" s="40"/>
      <x:c r="Q706" s="40"/>
      <x:c r="R706" s="41" t="str">
        <x:f>IF(OR(P706="",Q706=""),"",P706-Q706)</x:f>
      </x:c>
      <x:c r="S706" s="32"/>
      <x:c r="T706" s="32"/>
      <x:c r="U706" s="32"/>
      <x:c r="V706" s="32"/>
      <x:c r="W706" s="32"/>
      <x:c r="X706" s="32"/>
      <x:c r="Y706" s="43" t="str">
        <x:f>IF(OR(X706="",X706="Pending"),"",IF(X706="Rejected",0,IF(AND(U706="Ya",V706="Ya",W706="Ya"),1,"")))</x:f>
      </x:c>
      <x:c r="AA706" s="32"/>
      <x:c r="AB706" s="32"/>
      <x:c r="AC706" s="32"/>
      <x:c r="AD706" s="32"/>
      <x:c r="AE706" s="32"/>
      <x:c r="AF706" s="32"/>
      <x:c r="AG706" s="33" t="str">
        <x:f>IF(OR(AE706="",AF706=""),"",IF(AE706="Positif",IF(AF706="Positif","TP","FN"),IF(AF706="Positif","FP","TN")))</x:f>
      </x:c>
    </x:row>
    <x:row r="707">
      <x:c r="A707" s="32"/>
      <x:c r="B707" s="32"/>
      <x:c r="C707" s="32"/>
      <x:c r="D707" s="35"/>
      <x:c r="E707" s="32"/>
      <x:c r="F707" s="32"/>
      <x:c r="G707" s="32"/>
      <x:c r="H707" s="32"/>
      <x:c r="I707" s="32"/>
      <x:c r="J707" s="32"/>
      <x:c r="K707" s="32"/>
      <x:c r="L707" s="32"/>
      <x:c r="M707" s="32"/>
      <x:c r="N707" s="37"/>
      <x:c r="O707" s="32"/>
      <x:c r="P707" s="40"/>
      <x:c r="Q707" s="40"/>
      <x:c r="R707" s="41" t="str">
        <x:f>IF(OR(P707="",Q707=""),"",P707-Q707)</x:f>
      </x:c>
      <x:c r="S707" s="32"/>
      <x:c r="T707" s="32"/>
      <x:c r="U707" s="32"/>
      <x:c r="V707" s="32"/>
      <x:c r="W707" s="32"/>
      <x:c r="X707" s="32"/>
      <x:c r="Y707" s="43" t="str">
        <x:f>IF(OR(X707="",X707="Pending"),"",IF(X707="Rejected",0,IF(AND(U707="Ya",V707="Ya",W707="Ya"),1,"")))</x:f>
      </x:c>
      <x:c r="AA707" s="32"/>
      <x:c r="AB707" s="32"/>
      <x:c r="AC707" s="32"/>
      <x:c r="AD707" s="32"/>
      <x:c r="AE707" s="32"/>
      <x:c r="AF707" s="32"/>
      <x:c r="AG707" s="33" t="str">
        <x:f>IF(OR(AE707="",AF707=""),"",IF(AE707="Positif",IF(AF707="Positif","TP","FN"),IF(AF707="Positif","FP","TN")))</x:f>
      </x:c>
    </x:row>
    <x:row r="708">
      <x:c r="A708" s="32"/>
      <x:c r="B708" s="32"/>
      <x:c r="C708" s="32"/>
      <x:c r="D708" s="35"/>
      <x:c r="E708" s="32"/>
      <x:c r="F708" s="32"/>
      <x:c r="G708" s="32"/>
      <x:c r="H708" s="32"/>
      <x:c r="I708" s="32"/>
      <x:c r="J708" s="32"/>
      <x:c r="K708" s="32"/>
      <x:c r="L708" s="32"/>
      <x:c r="M708" s="32"/>
      <x:c r="N708" s="37"/>
      <x:c r="O708" s="32"/>
      <x:c r="P708" s="40"/>
      <x:c r="Q708" s="40"/>
      <x:c r="R708" s="41" t="str">
        <x:f>IF(OR(P708="",Q708=""),"",P708-Q708)</x:f>
      </x:c>
      <x:c r="S708" s="32"/>
      <x:c r="T708" s="32"/>
      <x:c r="U708" s="32"/>
      <x:c r="V708" s="32"/>
      <x:c r="W708" s="32"/>
      <x:c r="X708" s="32"/>
      <x:c r="Y708" s="43" t="str">
        <x:f>IF(OR(X708="",X708="Pending"),"",IF(X708="Rejected",0,IF(AND(U708="Ya",V708="Ya",W708="Ya"),1,"")))</x:f>
      </x:c>
      <x:c r="AA708" s="32"/>
      <x:c r="AB708" s="32"/>
      <x:c r="AC708" s="32"/>
      <x:c r="AD708" s="32"/>
      <x:c r="AE708" s="32"/>
      <x:c r="AF708" s="32"/>
      <x:c r="AG708" s="33" t="str">
        <x:f>IF(OR(AE708="",AF708=""),"",IF(AE708="Positif",IF(AF708="Positif","TP","FN"),IF(AF708="Positif","FP","TN")))</x:f>
      </x:c>
    </x:row>
    <x:row r="709">
      <x:c r="A709" s="32"/>
      <x:c r="B709" s="32"/>
      <x:c r="C709" s="32"/>
      <x:c r="D709" s="35"/>
      <x:c r="E709" s="32"/>
      <x:c r="F709" s="32"/>
      <x:c r="G709" s="32"/>
      <x:c r="H709" s="32"/>
      <x:c r="I709" s="32"/>
      <x:c r="J709" s="32"/>
      <x:c r="K709" s="32"/>
      <x:c r="L709" s="32"/>
      <x:c r="M709" s="32"/>
      <x:c r="N709" s="37"/>
      <x:c r="O709" s="32"/>
      <x:c r="P709" s="40"/>
      <x:c r="Q709" s="40"/>
      <x:c r="R709" s="41" t="str">
        <x:f>IF(OR(P709="",Q709=""),"",P709-Q709)</x:f>
      </x:c>
      <x:c r="S709" s="32"/>
      <x:c r="T709" s="32"/>
      <x:c r="U709" s="32"/>
      <x:c r="V709" s="32"/>
      <x:c r="W709" s="32"/>
      <x:c r="X709" s="32"/>
      <x:c r="Y709" s="43" t="str">
        <x:f>IF(OR(X709="",X709="Pending"),"",IF(X709="Rejected",0,IF(AND(U709="Ya",V709="Ya",W709="Ya"),1,"")))</x:f>
      </x:c>
      <x:c r="AA709" s="32"/>
      <x:c r="AB709" s="32"/>
      <x:c r="AC709" s="32"/>
      <x:c r="AD709" s="32"/>
      <x:c r="AE709" s="32"/>
      <x:c r="AF709" s="32"/>
      <x:c r="AG709" s="33" t="str">
        <x:f>IF(OR(AE709="",AF709=""),"",IF(AE709="Positif",IF(AF709="Positif","TP","FN"),IF(AF709="Positif","FP","TN")))</x:f>
      </x:c>
    </x:row>
    <x:row r="710">
      <x:c r="A710" s="32"/>
      <x:c r="B710" s="32"/>
      <x:c r="C710" s="32"/>
      <x:c r="D710" s="35"/>
      <x:c r="E710" s="32"/>
      <x:c r="F710" s="32"/>
      <x:c r="G710" s="32"/>
      <x:c r="H710" s="32"/>
      <x:c r="I710" s="32"/>
      <x:c r="J710" s="32"/>
      <x:c r="K710" s="32"/>
      <x:c r="L710" s="32"/>
      <x:c r="M710" s="32"/>
      <x:c r="N710" s="37"/>
      <x:c r="O710" s="32"/>
      <x:c r="P710" s="40"/>
      <x:c r="Q710" s="40"/>
      <x:c r="R710" s="41" t="str">
        <x:f>IF(OR(P710="",Q710=""),"",P710-Q710)</x:f>
      </x:c>
      <x:c r="S710" s="32"/>
      <x:c r="T710" s="32"/>
      <x:c r="U710" s="32"/>
      <x:c r="V710" s="32"/>
      <x:c r="W710" s="32"/>
      <x:c r="X710" s="32"/>
      <x:c r="Y710" s="43" t="str">
        <x:f>IF(OR(X710="",X710="Pending"),"",IF(X710="Rejected",0,IF(AND(U710="Ya",V710="Ya",W710="Ya"),1,"")))</x:f>
      </x:c>
      <x:c r="AA710" s="32"/>
      <x:c r="AB710" s="32"/>
      <x:c r="AC710" s="32"/>
      <x:c r="AD710" s="32"/>
      <x:c r="AE710" s="32"/>
      <x:c r="AF710" s="32"/>
      <x:c r="AG710" s="33" t="str">
        <x:f>IF(OR(AE710="",AF710=""),"",IF(AE710="Positif",IF(AF710="Positif","TP","FN"),IF(AF710="Positif","FP","TN")))</x:f>
      </x:c>
    </x:row>
    <x:row r="711">
      <x:c r="A711" s="32"/>
      <x:c r="B711" s="32"/>
      <x:c r="C711" s="32"/>
      <x:c r="D711" s="35"/>
      <x:c r="E711" s="32"/>
      <x:c r="F711" s="32"/>
      <x:c r="G711" s="32"/>
      <x:c r="H711" s="32"/>
      <x:c r="I711" s="32"/>
      <x:c r="J711" s="32"/>
      <x:c r="K711" s="32"/>
      <x:c r="L711" s="32"/>
      <x:c r="M711" s="32"/>
      <x:c r="N711" s="37"/>
      <x:c r="O711" s="32"/>
      <x:c r="P711" s="40"/>
      <x:c r="Q711" s="40"/>
      <x:c r="R711" s="41" t="str">
        <x:f>IF(OR(P711="",Q711=""),"",P711-Q711)</x:f>
      </x:c>
      <x:c r="S711" s="32"/>
      <x:c r="T711" s="32"/>
      <x:c r="U711" s="32"/>
      <x:c r="V711" s="32"/>
      <x:c r="W711" s="32"/>
      <x:c r="X711" s="32"/>
      <x:c r="Y711" s="43" t="str">
        <x:f>IF(OR(X711="",X711="Pending"),"",IF(X711="Rejected",0,IF(AND(U711="Ya",V711="Ya",W711="Ya"),1,"")))</x:f>
      </x:c>
      <x:c r="AA711" s="32"/>
      <x:c r="AB711" s="32"/>
      <x:c r="AC711" s="32"/>
      <x:c r="AD711" s="32"/>
      <x:c r="AE711" s="32"/>
      <x:c r="AF711" s="32"/>
      <x:c r="AG711" s="33" t="str">
        <x:f>IF(OR(AE711="",AF711=""),"",IF(AE711="Positif",IF(AF711="Positif","TP","FN"),IF(AF711="Positif","FP","TN")))</x:f>
      </x:c>
    </x:row>
    <x:row r="712">
      <x:c r="A712" s="32"/>
      <x:c r="B712" s="32"/>
      <x:c r="C712" s="32"/>
      <x:c r="D712" s="35"/>
      <x:c r="E712" s="32"/>
      <x:c r="F712" s="32"/>
      <x:c r="G712" s="32"/>
      <x:c r="H712" s="32"/>
      <x:c r="I712" s="32"/>
      <x:c r="J712" s="32"/>
      <x:c r="K712" s="32"/>
      <x:c r="L712" s="32"/>
      <x:c r="M712" s="32"/>
      <x:c r="N712" s="37"/>
      <x:c r="O712" s="32"/>
      <x:c r="P712" s="40"/>
      <x:c r="Q712" s="40"/>
      <x:c r="R712" s="41" t="str">
        <x:f>IF(OR(P712="",Q712=""),"",P712-Q712)</x:f>
      </x:c>
      <x:c r="S712" s="32"/>
      <x:c r="T712" s="32"/>
      <x:c r="U712" s="32"/>
      <x:c r="V712" s="32"/>
      <x:c r="W712" s="32"/>
      <x:c r="X712" s="32"/>
      <x:c r="Y712" s="43" t="str">
        <x:f>IF(OR(X712="",X712="Pending"),"",IF(X712="Rejected",0,IF(AND(U712="Ya",V712="Ya",W712="Ya"),1,"")))</x:f>
      </x:c>
      <x:c r="AA712" s="32"/>
      <x:c r="AB712" s="32"/>
      <x:c r="AC712" s="32"/>
      <x:c r="AD712" s="32"/>
      <x:c r="AE712" s="32"/>
      <x:c r="AF712" s="32"/>
      <x:c r="AG712" s="33" t="str">
        <x:f>IF(OR(AE712="",AF712=""),"",IF(AE712="Positif",IF(AF712="Positif","TP","FN"),IF(AF712="Positif","FP","TN")))</x:f>
      </x:c>
    </x:row>
    <x:row r="713">
      <x:c r="A713" s="32"/>
      <x:c r="B713" s="32"/>
      <x:c r="C713" s="32"/>
      <x:c r="D713" s="35"/>
      <x:c r="E713" s="32"/>
      <x:c r="F713" s="32"/>
      <x:c r="G713" s="32"/>
      <x:c r="H713" s="32"/>
      <x:c r="I713" s="32"/>
      <x:c r="J713" s="32"/>
      <x:c r="K713" s="32"/>
      <x:c r="L713" s="32"/>
      <x:c r="M713" s="32"/>
      <x:c r="N713" s="37"/>
      <x:c r="O713" s="32"/>
      <x:c r="P713" s="40"/>
      <x:c r="Q713" s="40"/>
      <x:c r="R713" s="41" t="str">
        <x:f>IF(OR(P713="",Q713=""),"",P713-Q713)</x:f>
      </x:c>
      <x:c r="S713" s="32"/>
      <x:c r="T713" s="32"/>
      <x:c r="U713" s="32"/>
      <x:c r="V713" s="32"/>
      <x:c r="W713" s="32"/>
      <x:c r="X713" s="32"/>
      <x:c r="Y713" s="43" t="str">
        <x:f>IF(OR(X713="",X713="Pending"),"",IF(X713="Rejected",0,IF(AND(U713="Ya",V713="Ya",W713="Ya"),1,"")))</x:f>
      </x:c>
      <x:c r="AA713" s="32"/>
      <x:c r="AB713" s="32"/>
      <x:c r="AC713" s="32"/>
      <x:c r="AD713" s="32"/>
      <x:c r="AE713" s="32"/>
      <x:c r="AF713" s="32"/>
      <x:c r="AG713" s="33" t="str">
        <x:f>IF(OR(AE713="",AF713=""),"",IF(AE713="Positif",IF(AF713="Positif","TP","FN"),IF(AF713="Positif","FP","TN")))</x:f>
      </x:c>
    </x:row>
    <x:row r="714">
      <x:c r="A714" s="32"/>
      <x:c r="B714" s="32"/>
      <x:c r="C714" s="32"/>
      <x:c r="D714" s="35"/>
      <x:c r="E714" s="32"/>
      <x:c r="F714" s="32"/>
      <x:c r="G714" s="32"/>
      <x:c r="H714" s="32"/>
      <x:c r="I714" s="32"/>
      <x:c r="J714" s="32"/>
      <x:c r="K714" s="32"/>
      <x:c r="L714" s="32"/>
      <x:c r="M714" s="32"/>
      <x:c r="N714" s="37"/>
      <x:c r="O714" s="32"/>
      <x:c r="P714" s="40"/>
      <x:c r="Q714" s="40"/>
      <x:c r="R714" s="41" t="str">
        <x:f>IF(OR(P714="",Q714=""),"",P714-Q714)</x:f>
      </x:c>
      <x:c r="S714" s="32"/>
      <x:c r="T714" s="32"/>
      <x:c r="U714" s="32"/>
      <x:c r="V714" s="32"/>
      <x:c r="W714" s="32"/>
      <x:c r="X714" s="32"/>
      <x:c r="Y714" s="43" t="str">
        <x:f>IF(OR(X714="",X714="Pending"),"",IF(X714="Rejected",0,IF(AND(U714="Ya",V714="Ya",W714="Ya"),1,"")))</x:f>
      </x:c>
      <x:c r="AA714" s="32"/>
      <x:c r="AB714" s="32"/>
      <x:c r="AC714" s="32"/>
      <x:c r="AD714" s="32"/>
      <x:c r="AE714" s="32"/>
      <x:c r="AF714" s="32"/>
      <x:c r="AG714" s="33" t="str">
        <x:f>IF(OR(AE714="",AF714=""),"",IF(AE714="Positif",IF(AF714="Positif","TP","FN"),IF(AF714="Positif","FP","TN")))</x:f>
      </x:c>
    </x:row>
    <x:row r="715">
      <x:c r="A715" s="32"/>
      <x:c r="B715" s="32"/>
      <x:c r="C715" s="32"/>
      <x:c r="D715" s="35"/>
      <x:c r="E715" s="32"/>
      <x:c r="F715" s="32"/>
      <x:c r="G715" s="32"/>
      <x:c r="H715" s="32"/>
      <x:c r="I715" s="32"/>
      <x:c r="J715" s="32"/>
      <x:c r="K715" s="32"/>
      <x:c r="L715" s="32"/>
      <x:c r="M715" s="32"/>
      <x:c r="N715" s="37"/>
      <x:c r="O715" s="32"/>
      <x:c r="P715" s="40"/>
      <x:c r="Q715" s="40"/>
      <x:c r="R715" s="41" t="str">
        <x:f>IF(OR(P715="",Q715=""),"",P715-Q715)</x:f>
      </x:c>
      <x:c r="S715" s="32"/>
      <x:c r="T715" s="32"/>
      <x:c r="U715" s="32"/>
      <x:c r="V715" s="32"/>
      <x:c r="W715" s="32"/>
      <x:c r="X715" s="32"/>
      <x:c r="Y715" s="43" t="str">
        <x:f>IF(OR(X715="",X715="Pending"),"",IF(X715="Rejected",0,IF(AND(U715="Ya",V715="Ya",W715="Ya"),1,"")))</x:f>
      </x:c>
      <x:c r="AA715" s="32"/>
      <x:c r="AB715" s="32"/>
      <x:c r="AC715" s="32"/>
      <x:c r="AD715" s="32"/>
      <x:c r="AE715" s="32"/>
      <x:c r="AF715" s="32"/>
      <x:c r="AG715" s="33" t="str">
        <x:f>IF(OR(AE715="",AF715=""),"",IF(AE715="Positif",IF(AF715="Positif","TP","FN"),IF(AF715="Positif","FP","TN")))</x:f>
      </x:c>
    </x:row>
    <x:row r="716">
      <x:c r="A716" s="32"/>
      <x:c r="B716" s="32"/>
      <x:c r="C716" s="32"/>
      <x:c r="D716" s="35"/>
      <x:c r="E716" s="32"/>
      <x:c r="F716" s="32"/>
      <x:c r="G716" s="32"/>
      <x:c r="H716" s="32"/>
      <x:c r="I716" s="32"/>
      <x:c r="J716" s="32"/>
      <x:c r="K716" s="32"/>
      <x:c r="L716" s="32"/>
      <x:c r="M716" s="32"/>
      <x:c r="N716" s="37"/>
      <x:c r="O716" s="32"/>
      <x:c r="P716" s="40"/>
      <x:c r="Q716" s="40"/>
      <x:c r="R716" s="41" t="str">
        <x:f>IF(OR(P716="",Q716=""),"",P716-Q716)</x:f>
      </x:c>
      <x:c r="S716" s="32"/>
      <x:c r="T716" s="32"/>
      <x:c r="U716" s="32"/>
      <x:c r="V716" s="32"/>
      <x:c r="W716" s="32"/>
      <x:c r="X716" s="32"/>
      <x:c r="Y716" s="43" t="str">
        <x:f>IF(OR(X716="",X716="Pending"),"",IF(X716="Rejected",0,IF(AND(U716="Ya",V716="Ya",W716="Ya"),1,"")))</x:f>
      </x:c>
      <x:c r="AA716" s="32"/>
      <x:c r="AB716" s="32"/>
      <x:c r="AC716" s="32"/>
      <x:c r="AD716" s="32"/>
      <x:c r="AE716" s="32"/>
      <x:c r="AF716" s="32"/>
      <x:c r="AG716" s="33" t="str">
        <x:f>IF(OR(AE716="",AF716=""),"",IF(AE716="Positif",IF(AF716="Positif","TP","FN"),IF(AF716="Positif","FP","TN")))</x:f>
      </x:c>
    </x:row>
    <x:row r="717">
      <x:c r="A717" s="32"/>
      <x:c r="B717" s="32"/>
      <x:c r="C717" s="32"/>
      <x:c r="D717" s="35"/>
      <x:c r="E717" s="32"/>
      <x:c r="F717" s="32"/>
      <x:c r="G717" s="32"/>
      <x:c r="H717" s="32"/>
      <x:c r="I717" s="32"/>
      <x:c r="J717" s="32"/>
      <x:c r="K717" s="32"/>
      <x:c r="L717" s="32"/>
      <x:c r="M717" s="32"/>
      <x:c r="N717" s="37"/>
      <x:c r="O717" s="32"/>
      <x:c r="P717" s="40"/>
      <x:c r="Q717" s="40"/>
      <x:c r="R717" s="41" t="str">
        <x:f>IF(OR(P717="",Q717=""),"",P717-Q717)</x:f>
      </x:c>
      <x:c r="S717" s="32"/>
      <x:c r="T717" s="32"/>
      <x:c r="U717" s="32"/>
      <x:c r="V717" s="32"/>
      <x:c r="W717" s="32"/>
      <x:c r="X717" s="32"/>
      <x:c r="Y717" s="43" t="str">
        <x:f>IF(OR(X717="",X717="Pending"),"",IF(X717="Rejected",0,IF(AND(U717="Ya",V717="Ya",W717="Ya"),1,"")))</x:f>
      </x:c>
      <x:c r="AA717" s="32"/>
      <x:c r="AB717" s="32"/>
      <x:c r="AC717" s="32"/>
      <x:c r="AD717" s="32"/>
      <x:c r="AE717" s="32"/>
      <x:c r="AF717" s="32"/>
      <x:c r="AG717" s="33" t="str">
        <x:f>IF(OR(AE717="",AF717=""),"",IF(AE717="Positif",IF(AF717="Positif","TP","FN"),IF(AF717="Positif","FP","TN")))</x:f>
      </x:c>
    </x:row>
    <x:row r="718">
      <x:c r="A718" s="32"/>
      <x:c r="B718" s="32"/>
      <x:c r="C718" s="32"/>
      <x:c r="D718" s="35"/>
      <x:c r="E718" s="32"/>
      <x:c r="F718" s="32"/>
      <x:c r="G718" s="32"/>
      <x:c r="H718" s="32"/>
      <x:c r="I718" s="32"/>
      <x:c r="J718" s="32"/>
      <x:c r="K718" s="32"/>
      <x:c r="L718" s="32"/>
      <x:c r="M718" s="32"/>
      <x:c r="N718" s="37"/>
      <x:c r="O718" s="32"/>
      <x:c r="P718" s="40"/>
      <x:c r="Q718" s="40"/>
      <x:c r="R718" s="41" t="str">
        <x:f>IF(OR(P718="",Q718=""),"",P718-Q718)</x:f>
      </x:c>
      <x:c r="S718" s="32"/>
      <x:c r="T718" s="32"/>
      <x:c r="U718" s="32"/>
      <x:c r="V718" s="32"/>
      <x:c r="W718" s="32"/>
      <x:c r="X718" s="32"/>
      <x:c r="Y718" s="43" t="str">
        <x:f>IF(OR(X718="",X718="Pending"),"",IF(X718="Rejected",0,IF(AND(U718="Ya",V718="Ya",W718="Ya"),1,"")))</x:f>
      </x:c>
      <x:c r="AA718" s="32"/>
      <x:c r="AB718" s="32"/>
      <x:c r="AC718" s="32"/>
      <x:c r="AD718" s="32"/>
      <x:c r="AE718" s="32"/>
      <x:c r="AF718" s="32"/>
      <x:c r="AG718" s="33" t="str">
        <x:f>IF(OR(AE718="",AF718=""),"",IF(AE718="Positif",IF(AF718="Positif","TP","FN"),IF(AF718="Positif","FP","TN")))</x:f>
      </x:c>
    </x:row>
    <x:row r="719">
      <x:c r="A719" s="32"/>
      <x:c r="B719" s="32"/>
      <x:c r="C719" s="32"/>
      <x:c r="D719" s="35"/>
      <x:c r="E719" s="32"/>
      <x:c r="F719" s="32"/>
      <x:c r="G719" s="32"/>
      <x:c r="H719" s="32"/>
      <x:c r="I719" s="32"/>
      <x:c r="J719" s="32"/>
      <x:c r="K719" s="32"/>
      <x:c r="L719" s="32"/>
      <x:c r="M719" s="32"/>
      <x:c r="N719" s="37"/>
      <x:c r="O719" s="32"/>
      <x:c r="P719" s="40"/>
      <x:c r="Q719" s="40"/>
      <x:c r="R719" s="41" t="str">
        <x:f>IF(OR(P719="",Q719=""),"",P719-Q719)</x:f>
      </x:c>
      <x:c r="S719" s="32"/>
      <x:c r="T719" s="32"/>
      <x:c r="U719" s="32"/>
      <x:c r="V719" s="32"/>
      <x:c r="W719" s="32"/>
      <x:c r="X719" s="32"/>
      <x:c r="Y719" s="43" t="str">
        <x:f>IF(OR(X719="",X719="Pending"),"",IF(X719="Rejected",0,IF(AND(U719="Ya",V719="Ya",W719="Ya"),1,"")))</x:f>
      </x:c>
      <x:c r="AA719" s="32"/>
      <x:c r="AB719" s="32"/>
      <x:c r="AC719" s="32"/>
      <x:c r="AD719" s="32"/>
      <x:c r="AE719" s="32"/>
      <x:c r="AF719" s="32"/>
      <x:c r="AG719" s="33" t="str">
        <x:f>IF(OR(AE719="",AF719=""),"",IF(AE719="Positif",IF(AF719="Positif","TP","FN"),IF(AF719="Positif","FP","TN")))</x:f>
      </x:c>
    </x:row>
    <x:row r="720">
      <x:c r="A720" s="32"/>
      <x:c r="B720" s="32"/>
      <x:c r="C720" s="32"/>
      <x:c r="D720" s="35"/>
      <x:c r="E720" s="32"/>
      <x:c r="F720" s="32"/>
      <x:c r="G720" s="32"/>
      <x:c r="H720" s="32"/>
      <x:c r="I720" s="32"/>
      <x:c r="J720" s="32"/>
      <x:c r="K720" s="32"/>
      <x:c r="L720" s="32"/>
      <x:c r="M720" s="32"/>
      <x:c r="N720" s="37"/>
      <x:c r="O720" s="32"/>
      <x:c r="P720" s="40"/>
      <x:c r="Q720" s="40"/>
      <x:c r="R720" s="41" t="str">
        <x:f>IF(OR(P720="",Q720=""),"",P720-Q720)</x:f>
      </x:c>
      <x:c r="S720" s="32"/>
      <x:c r="T720" s="32"/>
      <x:c r="U720" s="32"/>
      <x:c r="V720" s="32"/>
      <x:c r="W720" s="32"/>
      <x:c r="X720" s="32"/>
      <x:c r="Y720" s="43" t="str">
        <x:f>IF(OR(X720="",X720="Pending"),"",IF(X720="Rejected",0,IF(AND(U720="Ya",V720="Ya",W720="Ya"),1,"")))</x:f>
      </x:c>
      <x:c r="AA720" s="32"/>
      <x:c r="AB720" s="32"/>
      <x:c r="AC720" s="32"/>
      <x:c r="AD720" s="32"/>
      <x:c r="AE720" s="32"/>
      <x:c r="AF720" s="32"/>
      <x:c r="AG720" s="33" t="str">
        <x:f>IF(OR(AE720="",AF720=""),"",IF(AE720="Positif",IF(AF720="Positif","TP","FN"),IF(AF720="Positif","FP","TN")))</x:f>
      </x:c>
    </x:row>
    <x:row r="721">
      <x:c r="A721" s="32"/>
      <x:c r="B721" s="32"/>
      <x:c r="C721" s="32"/>
      <x:c r="D721" s="35"/>
      <x:c r="E721" s="32"/>
      <x:c r="F721" s="32"/>
      <x:c r="G721" s="32"/>
      <x:c r="H721" s="32"/>
      <x:c r="I721" s="32"/>
      <x:c r="J721" s="32"/>
      <x:c r="K721" s="32"/>
      <x:c r="L721" s="32"/>
      <x:c r="M721" s="32"/>
      <x:c r="N721" s="37"/>
      <x:c r="O721" s="32"/>
      <x:c r="P721" s="40"/>
      <x:c r="Q721" s="40"/>
      <x:c r="R721" s="41" t="str">
        <x:f>IF(OR(P721="",Q721=""),"",P721-Q721)</x:f>
      </x:c>
      <x:c r="S721" s="32"/>
      <x:c r="T721" s="32"/>
      <x:c r="U721" s="32"/>
      <x:c r="V721" s="32"/>
      <x:c r="W721" s="32"/>
      <x:c r="X721" s="32"/>
      <x:c r="Y721" s="43" t="str">
        <x:f>IF(OR(X721="",X721="Pending"),"",IF(X721="Rejected",0,IF(AND(U721="Ya",V721="Ya",W721="Ya"),1,"")))</x:f>
      </x:c>
      <x:c r="AA721" s="32"/>
      <x:c r="AB721" s="32"/>
      <x:c r="AC721" s="32"/>
      <x:c r="AD721" s="32"/>
      <x:c r="AE721" s="32"/>
      <x:c r="AF721" s="32"/>
      <x:c r="AG721" s="33" t="str">
        <x:f>IF(OR(AE721="",AF721=""),"",IF(AE721="Positif",IF(AF721="Positif","TP","FN"),IF(AF721="Positif","FP","TN")))</x:f>
      </x:c>
    </x:row>
    <x:row r="722">
      <x:c r="A722" s="32"/>
      <x:c r="B722" s="32"/>
      <x:c r="C722" s="32"/>
      <x:c r="D722" s="35"/>
      <x:c r="E722" s="32"/>
      <x:c r="F722" s="32"/>
      <x:c r="G722" s="32"/>
      <x:c r="H722" s="32"/>
      <x:c r="I722" s="32"/>
      <x:c r="J722" s="32"/>
      <x:c r="K722" s="32"/>
      <x:c r="L722" s="32"/>
      <x:c r="M722" s="32"/>
      <x:c r="N722" s="37"/>
      <x:c r="O722" s="32"/>
      <x:c r="P722" s="40"/>
      <x:c r="Q722" s="40"/>
      <x:c r="R722" s="41" t="str">
        <x:f>IF(OR(P722="",Q722=""),"",P722-Q722)</x:f>
      </x:c>
      <x:c r="S722" s="32"/>
      <x:c r="T722" s="32"/>
      <x:c r="U722" s="32"/>
      <x:c r="V722" s="32"/>
      <x:c r="W722" s="32"/>
      <x:c r="X722" s="32"/>
      <x:c r="Y722" s="43" t="str">
        <x:f>IF(OR(X722="",X722="Pending"),"",IF(X722="Rejected",0,IF(AND(U722="Ya",V722="Ya",W722="Ya"),1,"")))</x:f>
      </x:c>
      <x:c r="AA722" s="32"/>
      <x:c r="AB722" s="32"/>
      <x:c r="AC722" s="32"/>
      <x:c r="AD722" s="32"/>
      <x:c r="AE722" s="32"/>
      <x:c r="AF722" s="32"/>
      <x:c r="AG722" s="33" t="str">
        <x:f>IF(OR(AE722="",AF722=""),"",IF(AE722="Positif",IF(AF722="Positif","TP","FN"),IF(AF722="Positif","FP","TN")))</x:f>
      </x:c>
    </x:row>
    <x:row r="723">
      <x:c r="A723" s="32"/>
      <x:c r="B723" s="32"/>
      <x:c r="C723" s="32"/>
      <x:c r="D723" s="35"/>
      <x:c r="E723" s="32"/>
      <x:c r="F723" s="32"/>
      <x:c r="G723" s="32"/>
      <x:c r="H723" s="32"/>
      <x:c r="I723" s="32"/>
      <x:c r="J723" s="32"/>
      <x:c r="K723" s="32"/>
      <x:c r="L723" s="32"/>
      <x:c r="M723" s="32"/>
      <x:c r="N723" s="37"/>
      <x:c r="O723" s="32"/>
      <x:c r="P723" s="40"/>
      <x:c r="Q723" s="40"/>
      <x:c r="R723" s="41" t="str">
        <x:f>IF(OR(P723="",Q723=""),"",P723-Q723)</x:f>
      </x:c>
      <x:c r="S723" s="32"/>
      <x:c r="T723" s="32"/>
      <x:c r="U723" s="32"/>
      <x:c r="V723" s="32"/>
      <x:c r="W723" s="32"/>
      <x:c r="X723" s="32"/>
      <x:c r="Y723" s="43" t="str">
        <x:f>IF(OR(X723="",X723="Pending"),"",IF(X723="Rejected",0,IF(AND(U723="Ya",V723="Ya",W723="Ya"),1,"")))</x:f>
      </x:c>
      <x:c r="AA723" s="32"/>
      <x:c r="AB723" s="32"/>
      <x:c r="AC723" s="32"/>
      <x:c r="AD723" s="32"/>
      <x:c r="AE723" s="32"/>
      <x:c r="AF723" s="32"/>
      <x:c r="AG723" s="33" t="str">
        <x:f>IF(OR(AE723="",AF723=""),"",IF(AE723="Positif",IF(AF723="Positif","TP","FN"),IF(AF723="Positif","FP","TN")))</x:f>
      </x:c>
    </x:row>
    <x:row r="724">
      <x:c r="A724" s="32"/>
      <x:c r="B724" s="32"/>
      <x:c r="C724" s="32"/>
      <x:c r="D724" s="35"/>
      <x:c r="E724" s="32"/>
      <x:c r="F724" s="32"/>
      <x:c r="G724" s="32"/>
      <x:c r="H724" s="32"/>
      <x:c r="I724" s="32"/>
      <x:c r="J724" s="32"/>
      <x:c r="K724" s="32"/>
      <x:c r="L724" s="32"/>
      <x:c r="M724" s="32"/>
      <x:c r="N724" s="37"/>
      <x:c r="O724" s="32"/>
      <x:c r="P724" s="40"/>
      <x:c r="Q724" s="40"/>
      <x:c r="R724" s="41" t="str">
        <x:f>IF(OR(P724="",Q724=""),"",P724-Q724)</x:f>
      </x:c>
      <x:c r="S724" s="32"/>
      <x:c r="T724" s="32"/>
      <x:c r="U724" s="32"/>
      <x:c r="V724" s="32"/>
      <x:c r="W724" s="32"/>
      <x:c r="X724" s="32"/>
      <x:c r="Y724" s="43" t="str">
        <x:f>IF(OR(X724="",X724="Pending"),"",IF(X724="Rejected",0,IF(AND(U724="Ya",V724="Ya",W724="Ya"),1,"")))</x:f>
      </x:c>
      <x:c r="AA724" s="32"/>
      <x:c r="AB724" s="32"/>
      <x:c r="AC724" s="32"/>
      <x:c r="AD724" s="32"/>
      <x:c r="AE724" s="32"/>
      <x:c r="AF724" s="32"/>
      <x:c r="AG724" s="33" t="str">
        <x:f>IF(OR(AE724="",AF724=""),"",IF(AE724="Positif",IF(AF724="Positif","TP","FN"),IF(AF724="Positif","FP","TN")))</x:f>
      </x:c>
    </x:row>
    <x:row r="725">
      <x:c r="A725" s="32"/>
      <x:c r="B725" s="32"/>
      <x:c r="C725" s="32"/>
      <x:c r="D725" s="35"/>
      <x:c r="E725" s="32"/>
      <x:c r="F725" s="32"/>
      <x:c r="G725" s="32"/>
      <x:c r="H725" s="32"/>
      <x:c r="I725" s="32"/>
      <x:c r="J725" s="32"/>
      <x:c r="K725" s="32"/>
      <x:c r="L725" s="32"/>
      <x:c r="M725" s="32"/>
      <x:c r="N725" s="37"/>
      <x:c r="O725" s="32"/>
      <x:c r="P725" s="40"/>
      <x:c r="Q725" s="40"/>
      <x:c r="R725" s="41" t="str">
        <x:f>IF(OR(P725="",Q725=""),"",P725-Q725)</x:f>
      </x:c>
      <x:c r="S725" s="32"/>
      <x:c r="T725" s="32"/>
      <x:c r="U725" s="32"/>
      <x:c r="V725" s="32"/>
      <x:c r="W725" s="32"/>
      <x:c r="X725" s="32"/>
      <x:c r="Y725" s="43" t="str">
        <x:f>IF(OR(X725="",X725="Pending"),"",IF(X725="Rejected",0,IF(AND(U725="Ya",V725="Ya",W725="Ya"),1,"")))</x:f>
      </x:c>
      <x:c r="AA725" s="32"/>
      <x:c r="AB725" s="32"/>
      <x:c r="AC725" s="32"/>
      <x:c r="AD725" s="32"/>
      <x:c r="AE725" s="32"/>
      <x:c r="AF725" s="32"/>
      <x:c r="AG725" s="33" t="str">
        <x:f>IF(OR(AE725="",AF725=""),"",IF(AE725="Positif",IF(AF725="Positif","TP","FN"),IF(AF725="Positif","FP","TN")))</x:f>
      </x:c>
    </x:row>
    <x:row r="726">
      <x:c r="A726" s="32"/>
      <x:c r="B726" s="32"/>
      <x:c r="C726" s="32"/>
      <x:c r="D726" s="35"/>
      <x:c r="E726" s="32"/>
      <x:c r="F726" s="32"/>
      <x:c r="G726" s="32"/>
      <x:c r="H726" s="32"/>
      <x:c r="I726" s="32"/>
      <x:c r="J726" s="32"/>
      <x:c r="K726" s="32"/>
      <x:c r="L726" s="32"/>
      <x:c r="M726" s="32"/>
      <x:c r="N726" s="37"/>
      <x:c r="O726" s="32"/>
      <x:c r="P726" s="40"/>
      <x:c r="Q726" s="40"/>
      <x:c r="R726" s="41" t="str">
        <x:f>IF(OR(P726="",Q726=""),"",P726-Q726)</x:f>
      </x:c>
      <x:c r="S726" s="32"/>
      <x:c r="T726" s="32"/>
      <x:c r="U726" s="32"/>
      <x:c r="V726" s="32"/>
      <x:c r="W726" s="32"/>
      <x:c r="X726" s="32"/>
      <x:c r="Y726" s="43" t="str">
        <x:f>IF(OR(X726="",X726="Pending"),"",IF(X726="Rejected",0,IF(AND(U726="Ya",V726="Ya",W726="Ya"),1,"")))</x:f>
      </x:c>
      <x:c r="AA726" s="32"/>
      <x:c r="AB726" s="32"/>
      <x:c r="AC726" s="32"/>
      <x:c r="AD726" s="32"/>
      <x:c r="AE726" s="32"/>
      <x:c r="AF726" s="32"/>
      <x:c r="AG726" s="33" t="str">
        <x:f>IF(OR(AE726="",AF726=""),"",IF(AE726="Positif",IF(AF726="Positif","TP","FN"),IF(AF726="Positif","FP","TN")))</x:f>
      </x:c>
    </x:row>
    <x:row r="727">
      <x:c r="A727" s="32"/>
      <x:c r="B727" s="32"/>
      <x:c r="C727" s="32"/>
      <x:c r="D727" s="35"/>
      <x:c r="E727" s="32"/>
      <x:c r="F727" s="32"/>
      <x:c r="G727" s="32"/>
      <x:c r="H727" s="32"/>
      <x:c r="I727" s="32"/>
      <x:c r="J727" s="32"/>
      <x:c r="K727" s="32"/>
      <x:c r="L727" s="32"/>
      <x:c r="M727" s="32"/>
      <x:c r="N727" s="37"/>
      <x:c r="O727" s="32"/>
      <x:c r="P727" s="40"/>
      <x:c r="Q727" s="40"/>
      <x:c r="R727" s="41" t="str">
        <x:f>IF(OR(P727="",Q727=""),"",P727-Q727)</x:f>
      </x:c>
      <x:c r="S727" s="32"/>
      <x:c r="T727" s="32"/>
      <x:c r="U727" s="32"/>
      <x:c r="V727" s="32"/>
      <x:c r="W727" s="32"/>
      <x:c r="X727" s="32"/>
      <x:c r="Y727" s="43" t="str">
        <x:f>IF(OR(X727="",X727="Pending"),"",IF(X727="Rejected",0,IF(AND(U727="Ya",V727="Ya",W727="Ya"),1,"")))</x:f>
      </x:c>
      <x:c r="AA727" s="32"/>
      <x:c r="AB727" s="32"/>
      <x:c r="AC727" s="32"/>
      <x:c r="AD727" s="32"/>
      <x:c r="AE727" s="32"/>
      <x:c r="AF727" s="32"/>
      <x:c r="AG727" s="33" t="str">
        <x:f>IF(OR(AE727="",AF727=""),"",IF(AE727="Positif",IF(AF727="Positif","TP","FN"),IF(AF727="Positif","FP","TN")))</x:f>
      </x:c>
    </x:row>
    <x:row r="728">
      <x:c r="A728" s="32"/>
      <x:c r="B728" s="32"/>
      <x:c r="C728" s="32"/>
      <x:c r="D728" s="35"/>
      <x:c r="E728" s="32"/>
      <x:c r="F728" s="32"/>
      <x:c r="G728" s="32"/>
      <x:c r="H728" s="32"/>
      <x:c r="I728" s="32"/>
      <x:c r="J728" s="32"/>
      <x:c r="K728" s="32"/>
      <x:c r="L728" s="32"/>
      <x:c r="M728" s="32"/>
      <x:c r="N728" s="37"/>
      <x:c r="O728" s="32"/>
      <x:c r="P728" s="40"/>
      <x:c r="Q728" s="40"/>
      <x:c r="R728" s="41" t="str">
        <x:f>IF(OR(P728="",Q728=""),"",P728-Q728)</x:f>
      </x:c>
      <x:c r="S728" s="32"/>
      <x:c r="T728" s="32"/>
      <x:c r="U728" s="32"/>
      <x:c r="V728" s="32"/>
      <x:c r="W728" s="32"/>
      <x:c r="X728" s="32"/>
      <x:c r="Y728" s="43" t="str">
        <x:f>IF(OR(X728="",X728="Pending"),"",IF(X728="Rejected",0,IF(AND(U728="Ya",V728="Ya",W728="Ya"),1,"")))</x:f>
      </x:c>
      <x:c r="AA728" s="32"/>
      <x:c r="AB728" s="32"/>
      <x:c r="AC728" s="32"/>
      <x:c r="AD728" s="32"/>
      <x:c r="AE728" s="32"/>
      <x:c r="AF728" s="32"/>
      <x:c r="AG728" s="33" t="str">
        <x:f>IF(OR(AE728="",AF728=""),"",IF(AE728="Positif",IF(AF728="Positif","TP","FN"),IF(AF728="Positif","FP","TN")))</x:f>
      </x:c>
    </x:row>
    <x:row r="729">
      <x:c r="A729" s="32"/>
      <x:c r="B729" s="32"/>
      <x:c r="C729" s="32"/>
      <x:c r="D729" s="35"/>
      <x:c r="E729" s="32"/>
      <x:c r="F729" s="32"/>
      <x:c r="G729" s="32"/>
      <x:c r="H729" s="32"/>
      <x:c r="I729" s="32"/>
      <x:c r="J729" s="32"/>
      <x:c r="K729" s="32"/>
      <x:c r="L729" s="32"/>
      <x:c r="M729" s="32"/>
      <x:c r="N729" s="37"/>
      <x:c r="O729" s="32"/>
      <x:c r="P729" s="40"/>
      <x:c r="Q729" s="40"/>
      <x:c r="R729" s="41" t="str">
        <x:f>IF(OR(P729="",Q729=""),"",P729-Q729)</x:f>
      </x:c>
      <x:c r="S729" s="32"/>
      <x:c r="T729" s="32"/>
      <x:c r="U729" s="32"/>
      <x:c r="V729" s="32"/>
      <x:c r="W729" s="32"/>
      <x:c r="X729" s="32"/>
      <x:c r="Y729" s="43" t="str">
        <x:f>IF(OR(X729="",X729="Pending"),"",IF(X729="Rejected",0,IF(AND(U729="Ya",V729="Ya",W729="Ya"),1,"")))</x:f>
      </x:c>
      <x:c r="AA729" s="32"/>
      <x:c r="AB729" s="32"/>
      <x:c r="AC729" s="32"/>
      <x:c r="AD729" s="32"/>
      <x:c r="AE729" s="32"/>
      <x:c r="AF729" s="32"/>
      <x:c r="AG729" s="33" t="str">
        <x:f>IF(OR(AE729="",AF729=""),"",IF(AE729="Positif",IF(AF729="Positif","TP","FN"),IF(AF729="Positif","FP","TN")))</x:f>
      </x:c>
    </x:row>
    <x:row r="730">
      <x:c r="A730" s="32"/>
      <x:c r="B730" s="32"/>
      <x:c r="C730" s="32"/>
      <x:c r="D730" s="35"/>
      <x:c r="E730" s="32"/>
      <x:c r="F730" s="32"/>
      <x:c r="G730" s="32"/>
      <x:c r="H730" s="32"/>
      <x:c r="I730" s="32"/>
      <x:c r="J730" s="32"/>
      <x:c r="K730" s="32"/>
      <x:c r="L730" s="32"/>
      <x:c r="M730" s="32"/>
      <x:c r="N730" s="37"/>
      <x:c r="O730" s="32"/>
      <x:c r="P730" s="40"/>
      <x:c r="Q730" s="40"/>
      <x:c r="R730" s="41" t="str">
        <x:f>IF(OR(P730="",Q730=""),"",P730-Q730)</x:f>
      </x:c>
      <x:c r="S730" s="32"/>
      <x:c r="T730" s="32"/>
      <x:c r="U730" s="32"/>
      <x:c r="V730" s="32"/>
      <x:c r="W730" s="32"/>
      <x:c r="X730" s="32"/>
      <x:c r="Y730" s="43" t="str">
        <x:f>IF(OR(X730="",X730="Pending"),"",IF(X730="Rejected",0,IF(AND(U730="Ya",V730="Ya",W730="Ya"),1,"")))</x:f>
      </x:c>
      <x:c r="AA730" s="32"/>
      <x:c r="AB730" s="32"/>
      <x:c r="AC730" s="32"/>
      <x:c r="AD730" s="32"/>
      <x:c r="AE730" s="32"/>
      <x:c r="AF730" s="32"/>
      <x:c r="AG730" s="33" t="str">
        <x:f>IF(OR(AE730="",AF730=""),"",IF(AE730="Positif",IF(AF730="Positif","TP","FN"),IF(AF730="Positif","FP","TN")))</x:f>
      </x:c>
    </x:row>
    <x:row r="731">
      <x:c r="A731" s="32"/>
      <x:c r="B731" s="32"/>
      <x:c r="C731" s="32"/>
      <x:c r="D731" s="35"/>
      <x:c r="E731" s="32"/>
      <x:c r="F731" s="32"/>
      <x:c r="G731" s="32"/>
      <x:c r="H731" s="32"/>
      <x:c r="I731" s="32"/>
      <x:c r="J731" s="32"/>
      <x:c r="K731" s="32"/>
      <x:c r="L731" s="32"/>
      <x:c r="M731" s="32"/>
      <x:c r="N731" s="37"/>
      <x:c r="O731" s="32"/>
      <x:c r="P731" s="40"/>
      <x:c r="Q731" s="40"/>
      <x:c r="R731" s="41" t="str">
        <x:f>IF(OR(P731="",Q731=""),"",P731-Q731)</x:f>
      </x:c>
      <x:c r="S731" s="32"/>
      <x:c r="T731" s="32"/>
      <x:c r="U731" s="32"/>
      <x:c r="V731" s="32"/>
      <x:c r="W731" s="32"/>
      <x:c r="X731" s="32"/>
      <x:c r="Y731" s="43" t="str">
        <x:f>IF(OR(X731="",X731="Pending"),"",IF(X731="Rejected",0,IF(AND(U731="Ya",V731="Ya",W731="Ya"),1,"")))</x:f>
      </x:c>
      <x:c r="AA731" s="32"/>
      <x:c r="AB731" s="32"/>
      <x:c r="AC731" s="32"/>
      <x:c r="AD731" s="32"/>
      <x:c r="AE731" s="32"/>
      <x:c r="AF731" s="32"/>
      <x:c r="AG731" s="33" t="str">
        <x:f>IF(OR(AE731="",AF731=""),"",IF(AE731="Positif",IF(AF731="Positif","TP","FN"),IF(AF731="Positif","FP","TN")))</x:f>
      </x:c>
    </x:row>
    <x:row r="732">
      <x:c r="A732" s="32"/>
      <x:c r="B732" s="32"/>
      <x:c r="C732" s="32"/>
      <x:c r="D732" s="35"/>
      <x:c r="E732" s="32"/>
      <x:c r="F732" s="32"/>
      <x:c r="G732" s="32"/>
      <x:c r="H732" s="32"/>
      <x:c r="I732" s="32"/>
      <x:c r="J732" s="32"/>
      <x:c r="K732" s="32"/>
      <x:c r="L732" s="32"/>
      <x:c r="M732" s="32"/>
      <x:c r="N732" s="37"/>
      <x:c r="O732" s="32"/>
      <x:c r="P732" s="40"/>
      <x:c r="Q732" s="40"/>
      <x:c r="R732" s="41" t="str">
        <x:f>IF(OR(P732="",Q732=""),"",P732-Q732)</x:f>
      </x:c>
      <x:c r="S732" s="32"/>
      <x:c r="T732" s="32"/>
      <x:c r="U732" s="32"/>
      <x:c r="V732" s="32"/>
      <x:c r="W732" s="32"/>
      <x:c r="X732" s="32"/>
      <x:c r="Y732" s="43" t="str">
        <x:f>IF(OR(X732="",X732="Pending"),"",IF(X732="Rejected",0,IF(AND(U732="Ya",V732="Ya",W732="Ya"),1,"")))</x:f>
      </x:c>
      <x:c r="AA732" s="32"/>
      <x:c r="AB732" s="32"/>
      <x:c r="AC732" s="32"/>
      <x:c r="AD732" s="32"/>
      <x:c r="AE732" s="32"/>
      <x:c r="AF732" s="32"/>
      <x:c r="AG732" s="33" t="str">
        <x:f>IF(OR(AE732="",AF732=""),"",IF(AE732="Positif",IF(AF732="Positif","TP","FN"),IF(AF732="Positif","FP","TN")))</x:f>
      </x:c>
    </x:row>
    <x:row r="733">
      <x:c r="A733" s="32"/>
      <x:c r="B733" s="32"/>
      <x:c r="C733" s="32"/>
      <x:c r="D733" s="35"/>
      <x:c r="E733" s="32"/>
      <x:c r="F733" s="32"/>
      <x:c r="G733" s="32"/>
      <x:c r="H733" s="32"/>
      <x:c r="I733" s="32"/>
      <x:c r="J733" s="32"/>
      <x:c r="K733" s="32"/>
      <x:c r="L733" s="32"/>
      <x:c r="M733" s="32"/>
      <x:c r="N733" s="37"/>
      <x:c r="O733" s="32"/>
      <x:c r="P733" s="40"/>
      <x:c r="Q733" s="40"/>
      <x:c r="R733" s="41" t="str">
        <x:f>IF(OR(P733="",Q733=""),"",P733-Q733)</x:f>
      </x:c>
      <x:c r="S733" s="32"/>
      <x:c r="T733" s="32"/>
      <x:c r="U733" s="32"/>
      <x:c r="V733" s="32"/>
      <x:c r="W733" s="32"/>
      <x:c r="X733" s="32"/>
      <x:c r="Y733" s="43" t="str">
        <x:f>IF(OR(X733="",X733="Pending"),"",IF(X733="Rejected",0,IF(AND(U733="Ya",V733="Ya",W733="Ya"),1,"")))</x:f>
      </x:c>
      <x:c r="AA733" s="32"/>
      <x:c r="AB733" s="32"/>
      <x:c r="AC733" s="32"/>
      <x:c r="AD733" s="32"/>
      <x:c r="AE733" s="32"/>
      <x:c r="AF733" s="32"/>
      <x:c r="AG733" s="33" t="str">
        <x:f>IF(OR(AE733="",AF733=""),"",IF(AE733="Positif",IF(AF733="Positif","TP","FN"),IF(AF733="Positif","FP","TN")))</x:f>
      </x:c>
    </x:row>
    <x:row r="734">
      <x:c r="A734" s="32"/>
      <x:c r="B734" s="32"/>
      <x:c r="C734" s="32"/>
      <x:c r="D734" s="35"/>
      <x:c r="E734" s="32"/>
      <x:c r="F734" s="32"/>
      <x:c r="G734" s="32"/>
      <x:c r="H734" s="32"/>
      <x:c r="I734" s="32"/>
      <x:c r="J734" s="32"/>
      <x:c r="K734" s="32"/>
      <x:c r="L734" s="32"/>
      <x:c r="M734" s="32"/>
      <x:c r="N734" s="37"/>
      <x:c r="O734" s="32"/>
      <x:c r="P734" s="40"/>
      <x:c r="Q734" s="40"/>
      <x:c r="R734" s="41" t="str">
        <x:f>IF(OR(P734="",Q734=""),"",P734-Q734)</x:f>
      </x:c>
      <x:c r="S734" s="32"/>
      <x:c r="T734" s="32"/>
      <x:c r="U734" s="32"/>
      <x:c r="V734" s="32"/>
      <x:c r="W734" s="32"/>
      <x:c r="X734" s="32"/>
      <x:c r="Y734" s="43" t="str">
        <x:f>IF(OR(X734="",X734="Pending"),"",IF(X734="Rejected",0,IF(AND(U734="Ya",V734="Ya",W734="Ya"),1,"")))</x:f>
      </x:c>
      <x:c r="AA734" s="32"/>
      <x:c r="AB734" s="32"/>
      <x:c r="AC734" s="32"/>
      <x:c r="AD734" s="32"/>
      <x:c r="AE734" s="32"/>
      <x:c r="AF734" s="32"/>
      <x:c r="AG734" s="33" t="str">
        <x:f>IF(OR(AE734="",AF734=""),"",IF(AE734="Positif",IF(AF734="Positif","TP","FN"),IF(AF734="Positif","FP","TN")))</x:f>
      </x:c>
    </x:row>
    <x:row r="735">
      <x:c r="A735" s="32"/>
      <x:c r="B735" s="32"/>
      <x:c r="C735" s="32"/>
      <x:c r="D735" s="35"/>
      <x:c r="E735" s="32"/>
      <x:c r="F735" s="32"/>
      <x:c r="G735" s="32"/>
      <x:c r="H735" s="32"/>
      <x:c r="I735" s="32"/>
      <x:c r="J735" s="32"/>
      <x:c r="K735" s="32"/>
      <x:c r="L735" s="32"/>
      <x:c r="M735" s="32"/>
      <x:c r="N735" s="37"/>
      <x:c r="O735" s="32"/>
      <x:c r="P735" s="40"/>
      <x:c r="Q735" s="40"/>
      <x:c r="R735" s="41" t="str">
        <x:f>IF(OR(P735="",Q735=""),"",P735-Q735)</x:f>
      </x:c>
      <x:c r="S735" s="32"/>
      <x:c r="T735" s="32"/>
      <x:c r="U735" s="32"/>
      <x:c r="V735" s="32"/>
      <x:c r="W735" s="32"/>
      <x:c r="X735" s="32"/>
      <x:c r="Y735" s="43" t="str">
        <x:f>IF(OR(X735="",X735="Pending"),"",IF(X735="Rejected",0,IF(AND(U735="Ya",V735="Ya",W735="Ya"),1,"")))</x:f>
      </x:c>
      <x:c r="AA735" s="32"/>
      <x:c r="AB735" s="32"/>
      <x:c r="AC735" s="32"/>
      <x:c r="AD735" s="32"/>
      <x:c r="AE735" s="32"/>
      <x:c r="AF735" s="32"/>
      <x:c r="AG735" s="33" t="str">
        <x:f>IF(OR(AE735="",AF735=""),"",IF(AE735="Positif",IF(AF735="Positif","TP","FN"),IF(AF735="Positif","FP","TN")))</x:f>
      </x:c>
    </x:row>
    <x:row r="736">
      <x:c r="A736" s="32"/>
      <x:c r="B736" s="32"/>
      <x:c r="C736" s="32"/>
      <x:c r="D736" s="35"/>
      <x:c r="E736" s="32"/>
      <x:c r="F736" s="32"/>
      <x:c r="G736" s="32"/>
      <x:c r="H736" s="32"/>
      <x:c r="I736" s="32"/>
      <x:c r="J736" s="32"/>
      <x:c r="K736" s="32"/>
      <x:c r="L736" s="32"/>
      <x:c r="M736" s="32"/>
      <x:c r="N736" s="37"/>
      <x:c r="O736" s="32"/>
      <x:c r="P736" s="40"/>
      <x:c r="Q736" s="40"/>
      <x:c r="R736" s="41" t="str">
        <x:f>IF(OR(P736="",Q736=""),"",P736-Q736)</x:f>
      </x:c>
      <x:c r="S736" s="32"/>
      <x:c r="T736" s="32"/>
      <x:c r="U736" s="32"/>
      <x:c r="V736" s="32"/>
      <x:c r="W736" s="32"/>
      <x:c r="X736" s="32"/>
      <x:c r="Y736" s="43" t="str">
        <x:f>IF(OR(X736="",X736="Pending"),"",IF(X736="Rejected",0,IF(AND(U736="Ya",V736="Ya",W736="Ya"),1,"")))</x:f>
      </x:c>
      <x:c r="AA736" s="32"/>
      <x:c r="AB736" s="32"/>
      <x:c r="AC736" s="32"/>
      <x:c r="AD736" s="32"/>
      <x:c r="AE736" s="32"/>
      <x:c r="AF736" s="32"/>
      <x:c r="AG736" s="33" t="str">
        <x:f>IF(OR(AE736="",AF736=""),"",IF(AE736="Positif",IF(AF736="Positif","TP","FN"),IF(AF736="Positif","FP","TN")))</x:f>
      </x:c>
    </x:row>
    <x:row r="737">
      <x:c r="A737" s="32"/>
      <x:c r="B737" s="32"/>
      <x:c r="C737" s="32"/>
      <x:c r="D737" s="35"/>
      <x:c r="E737" s="32"/>
      <x:c r="F737" s="32"/>
      <x:c r="G737" s="32"/>
      <x:c r="H737" s="32"/>
      <x:c r="I737" s="32"/>
      <x:c r="J737" s="32"/>
      <x:c r="K737" s="32"/>
      <x:c r="L737" s="32"/>
      <x:c r="M737" s="32"/>
      <x:c r="N737" s="37"/>
      <x:c r="O737" s="32"/>
      <x:c r="P737" s="40"/>
      <x:c r="Q737" s="40"/>
      <x:c r="R737" s="41" t="str">
        <x:f>IF(OR(P737="",Q737=""),"",P737-Q737)</x:f>
      </x:c>
      <x:c r="S737" s="32"/>
      <x:c r="T737" s="32"/>
      <x:c r="U737" s="32"/>
      <x:c r="V737" s="32"/>
      <x:c r="W737" s="32"/>
      <x:c r="X737" s="32"/>
      <x:c r="Y737" s="43" t="str">
        <x:f>IF(OR(X737="",X737="Pending"),"",IF(X737="Rejected",0,IF(AND(U737="Ya",V737="Ya",W737="Ya"),1,"")))</x:f>
      </x:c>
      <x:c r="AA737" s="32"/>
      <x:c r="AB737" s="32"/>
      <x:c r="AC737" s="32"/>
      <x:c r="AD737" s="32"/>
      <x:c r="AE737" s="32"/>
      <x:c r="AF737" s="32"/>
      <x:c r="AG737" s="33" t="str">
        <x:f>IF(OR(AE737="",AF737=""),"",IF(AE737="Positif",IF(AF737="Positif","TP","FN"),IF(AF737="Positif","FP","TN")))</x:f>
      </x:c>
    </x:row>
    <x:row r="738">
      <x:c r="A738" s="32"/>
      <x:c r="B738" s="32"/>
      <x:c r="C738" s="32"/>
      <x:c r="D738" s="35"/>
      <x:c r="E738" s="32"/>
      <x:c r="F738" s="32"/>
      <x:c r="G738" s="32"/>
      <x:c r="H738" s="32"/>
      <x:c r="I738" s="32"/>
      <x:c r="J738" s="32"/>
      <x:c r="K738" s="32"/>
      <x:c r="L738" s="32"/>
      <x:c r="M738" s="32"/>
      <x:c r="N738" s="37"/>
      <x:c r="O738" s="32"/>
      <x:c r="P738" s="40"/>
      <x:c r="Q738" s="40"/>
      <x:c r="R738" s="41" t="str">
        <x:f>IF(OR(P738="",Q738=""),"",P738-Q738)</x:f>
      </x:c>
      <x:c r="S738" s="32"/>
      <x:c r="T738" s="32"/>
      <x:c r="U738" s="32"/>
      <x:c r="V738" s="32"/>
      <x:c r="W738" s="32"/>
      <x:c r="X738" s="32"/>
      <x:c r="Y738" s="43" t="str">
        <x:f>IF(OR(X738="",X738="Pending"),"",IF(X738="Rejected",0,IF(AND(U738="Ya",V738="Ya",W738="Ya"),1,"")))</x:f>
      </x:c>
      <x:c r="AA738" s="32"/>
      <x:c r="AB738" s="32"/>
      <x:c r="AC738" s="32"/>
      <x:c r="AD738" s="32"/>
      <x:c r="AE738" s="32"/>
      <x:c r="AF738" s="32"/>
      <x:c r="AG738" s="33" t="str">
        <x:f>IF(OR(AE738="",AF738=""),"",IF(AE738="Positif",IF(AF738="Positif","TP","FN"),IF(AF738="Positif","FP","TN")))</x:f>
      </x:c>
    </x:row>
    <x:row r="739">
      <x:c r="A739" s="32"/>
      <x:c r="B739" s="32"/>
      <x:c r="C739" s="32"/>
      <x:c r="D739" s="35"/>
      <x:c r="E739" s="32"/>
      <x:c r="F739" s="32"/>
      <x:c r="G739" s="32"/>
      <x:c r="H739" s="32"/>
      <x:c r="I739" s="32"/>
      <x:c r="J739" s="32"/>
      <x:c r="K739" s="32"/>
      <x:c r="L739" s="32"/>
      <x:c r="M739" s="32"/>
      <x:c r="N739" s="37"/>
      <x:c r="O739" s="32"/>
      <x:c r="P739" s="40"/>
      <x:c r="Q739" s="40"/>
      <x:c r="R739" s="41" t="str">
        <x:f>IF(OR(P739="",Q739=""),"",P739-Q739)</x:f>
      </x:c>
      <x:c r="S739" s="32"/>
      <x:c r="T739" s="32"/>
      <x:c r="U739" s="32"/>
      <x:c r="V739" s="32"/>
      <x:c r="W739" s="32"/>
      <x:c r="X739" s="32"/>
      <x:c r="Y739" s="43" t="str">
        <x:f>IF(OR(X739="",X739="Pending"),"",IF(X739="Rejected",0,IF(AND(U739="Ya",V739="Ya",W739="Ya"),1,"")))</x:f>
      </x:c>
      <x:c r="AA739" s="32"/>
      <x:c r="AB739" s="32"/>
      <x:c r="AC739" s="32"/>
      <x:c r="AD739" s="32"/>
      <x:c r="AE739" s="32"/>
      <x:c r="AF739" s="32"/>
      <x:c r="AG739" s="33" t="str">
        <x:f>IF(OR(AE739="",AF739=""),"",IF(AE739="Positif",IF(AF739="Positif","TP","FN"),IF(AF739="Positif","FP","TN")))</x:f>
      </x:c>
    </x:row>
    <x:row r="740">
      <x:c r="A740" s="32"/>
      <x:c r="B740" s="32"/>
      <x:c r="C740" s="32"/>
      <x:c r="D740" s="35"/>
      <x:c r="E740" s="32"/>
      <x:c r="F740" s="32"/>
      <x:c r="G740" s="32"/>
      <x:c r="H740" s="32"/>
      <x:c r="I740" s="32"/>
      <x:c r="J740" s="32"/>
      <x:c r="K740" s="32"/>
      <x:c r="L740" s="32"/>
      <x:c r="M740" s="32"/>
      <x:c r="N740" s="37"/>
      <x:c r="O740" s="32"/>
      <x:c r="P740" s="40"/>
      <x:c r="Q740" s="40"/>
      <x:c r="R740" s="41" t="str">
        <x:f>IF(OR(P740="",Q740=""),"",P740-Q740)</x:f>
      </x:c>
      <x:c r="S740" s="32"/>
      <x:c r="T740" s="32"/>
      <x:c r="U740" s="32"/>
      <x:c r="V740" s="32"/>
      <x:c r="W740" s="32"/>
      <x:c r="X740" s="32"/>
      <x:c r="Y740" s="43" t="str">
        <x:f>IF(OR(X740="",X740="Pending"),"",IF(X740="Rejected",0,IF(AND(U740="Ya",V740="Ya",W740="Ya"),1,"")))</x:f>
      </x:c>
      <x:c r="AA740" s="32"/>
      <x:c r="AB740" s="32"/>
      <x:c r="AC740" s="32"/>
      <x:c r="AD740" s="32"/>
      <x:c r="AE740" s="32"/>
      <x:c r="AF740" s="32"/>
      <x:c r="AG740" s="33" t="str">
        <x:f>IF(OR(AE740="",AF740=""),"",IF(AE740="Positif",IF(AF740="Positif","TP","FN"),IF(AF740="Positif","FP","TN")))</x:f>
      </x:c>
    </x:row>
    <x:row r="741">
      <x:c r="A741" s="32"/>
      <x:c r="B741" s="32"/>
      <x:c r="C741" s="32"/>
      <x:c r="D741" s="35"/>
      <x:c r="E741" s="32"/>
      <x:c r="F741" s="32"/>
      <x:c r="G741" s="32"/>
      <x:c r="H741" s="32"/>
      <x:c r="I741" s="32"/>
      <x:c r="J741" s="32"/>
      <x:c r="K741" s="32"/>
      <x:c r="L741" s="32"/>
      <x:c r="M741" s="32"/>
      <x:c r="N741" s="37"/>
      <x:c r="O741" s="32"/>
      <x:c r="P741" s="40"/>
      <x:c r="Q741" s="40"/>
      <x:c r="R741" s="41" t="str">
        <x:f>IF(OR(P741="",Q741=""),"",P741-Q741)</x:f>
      </x:c>
      <x:c r="S741" s="32"/>
      <x:c r="T741" s="32"/>
      <x:c r="U741" s="32"/>
      <x:c r="V741" s="32"/>
      <x:c r="W741" s="32"/>
      <x:c r="X741" s="32"/>
      <x:c r="Y741" s="43" t="str">
        <x:f>IF(OR(X741="",X741="Pending"),"",IF(X741="Rejected",0,IF(AND(U741="Ya",V741="Ya",W741="Ya"),1,"")))</x:f>
      </x:c>
      <x:c r="AA741" s="32"/>
      <x:c r="AB741" s="32"/>
      <x:c r="AC741" s="32"/>
      <x:c r="AD741" s="32"/>
      <x:c r="AE741" s="32"/>
      <x:c r="AF741" s="32"/>
      <x:c r="AG741" s="33" t="str">
        <x:f>IF(OR(AE741="",AF741=""),"",IF(AE741="Positif",IF(AF741="Positif","TP","FN"),IF(AF741="Positif","FP","TN")))</x:f>
      </x:c>
    </x:row>
    <x:row r="742">
      <x:c r="A742" s="32"/>
      <x:c r="B742" s="32"/>
      <x:c r="C742" s="32"/>
      <x:c r="D742" s="35"/>
      <x:c r="E742" s="32"/>
      <x:c r="F742" s="32"/>
      <x:c r="G742" s="32"/>
      <x:c r="H742" s="32"/>
      <x:c r="I742" s="32"/>
      <x:c r="J742" s="32"/>
      <x:c r="K742" s="32"/>
      <x:c r="L742" s="32"/>
      <x:c r="M742" s="32"/>
      <x:c r="N742" s="37"/>
      <x:c r="O742" s="32"/>
      <x:c r="P742" s="40"/>
      <x:c r="Q742" s="40"/>
      <x:c r="R742" s="41" t="str">
        <x:f>IF(OR(P742="",Q742=""),"",P742-Q742)</x:f>
      </x:c>
      <x:c r="S742" s="32"/>
      <x:c r="T742" s="32"/>
      <x:c r="U742" s="32"/>
      <x:c r="V742" s="32"/>
      <x:c r="W742" s="32"/>
      <x:c r="X742" s="32"/>
      <x:c r="Y742" s="43" t="str">
        <x:f>IF(OR(X742="",X742="Pending"),"",IF(X742="Rejected",0,IF(AND(U742="Ya",V742="Ya",W742="Ya"),1,"")))</x:f>
      </x:c>
      <x:c r="AA742" s="32"/>
      <x:c r="AB742" s="32"/>
      <x:c r="AC742" s="32"/>
      <x:c r="AD742" s="32"/>
      <x:c r="AE742" s="32"/>
      <x:c r="AF742" s="32"/>
      <x:c r="AG742" s="33" t="str">
        <x:f>IF(OR(AE742="",AF742=""),"",IF(AE742="Positif",IF(AF742="Positif","TP","FN"),IF(AF742="Positif","FP","TN")))</x:f>
      </x:c>
    </x:row>
    <x:row r="743">
      <x:c r="A743" s="32"/>
      <x:c r="B743" s="32"/>
      <x:c r="C743" s="32"/>
      <x:c r="D743" s="35"/>
      <x:c r="E743" s="32"/>
      <x:c r="F743" s="32"/>
      <x:c r="G743" s="32"/>
      <x:c r="H743" s="32"/>
      <x:c r="I743" s="32"/>
      <x:c r="J743" s="32"/>
      <x:c r="K743" s="32"/>
      <x:c r="L743" s="32"/>
      <x:c r="M743" s="32"/>
      <x:c r="N743" s="37"/>
      <x:c r="O743" s="32"/>
      <x:c r="P743" s="40"/>
      <x:c r="Q743" s="40"/>
      <x:c r="R743" s="41" t="str">
        <x:f>IF(OR(P743="",Q743=""),"",P743-Q743)</x:f>
      </x:c>
      <x:c r="S743" s="32"/>
      <x:c r="T743" s="32"/>
      <x:c r="U743" s="32"/>
      <x:c r="V743" s="32"/>
      <x:c r="W743" s="32"/>
      <x:c r="X743" s="32"/>
      <x:c r="Y743" s="43" t="str">
        <x:f>IF(OR(X743="",X743="Pending"),"",IF(X743="Rejected",0,IF(AND(U743="Ya",V743="Ya",W743="Ya"),1,"")))</x:f>
      </x:c>
      <x:c r="AA743" s="32"/>
      <x:c r="AB743" s="32"/>
      <x:c r="AC743" s="32"/>
      <x:c r="AD743" s="32"/>
      <x:c r="AE743" s="32"/>
      <x:c r="AF743" s="32"/>
      <x:c r="AG743" s="33" t="str">
        <x:f>IF(OR(AE743="",AF743=""),"",IF(AE743="Positif",IF(AF743="Positif","TP","FN"),IF(AF743="Positif","FP","TN")))</x:f>
      </x:c>
    </x:row>
    <x:row r="744">
      <x:c r="A744" s="32"/>
      <x:c r="B744" s="32"/>
      <x:c r="C744" s="32"/>
      <x:c r="D744" s="35"/>
      <x:c r="E744" s="32"/>
      <x:c r="F744" s="32"/>
      <x:c r="G744" s="32"/>
      <x:c r="H744" s="32"/>
      <x:c r="I744" s="32"/>
      <x:c r="J744" s="32"/>
      <x:c r="K744" s="32"/>
      <x:c r="L744" s="32"/>
      <x:c r="M744" s="32"/>
      <x:c r="N744" s="37"/>
      <x:c r="O744" s="32"/>
      <x:c r="P744" s="40"/>
      <x:c r="Q744" s="40"/>
      <x:c r="R744" s="41" t="str">
        <x:f>IF(OR(P744="",Q744=""),"",P744-Q744)</x:f>
      </x:c>
      <x:c r="S744" s="32"/>
      <x:c r="T744" s="32"/>
      <x:c r="U744" s="32"/>
      <x:c r="V744" s="32"/>
      <x:c r="W744" s="32"/>
      <x:c r="X744" s="32"/>
      <x:c r="Y744" s="43" t="str">
        <x:f>IF(OR(X744="",X744="Pending"),"",IF(X744="Rejected",0,IF(AND(U744="Ya",V744="Ya",W744="Ya"),1,"")))</x:f>
      </x:c>
      <x:c r="AA744" s="32"/>
      <x:c r="AB744" s="32"/>
      <x:c r="AC744" s="32"/>
      <x:c r="AD744" s="32"/>
      <x:c r="AE744" s="32"/>
      <x:c r="AF744" s="32"/>
      <x:c r="AG744" s="33" t="str">
        <x:f>IF(OR(AE744="",AF744=""),"",IF(AE744="Positif",IF(AF744="Positif","TP","FN"),IF(AF744="Positif","FP","TN")))</x:f>
      </x:c>
    </x:row>
    <x:row r="745">
      <x:c r="A745" s="32"/>
      <x:c r="B745" s="32"/>
      <x:c r="C745" s="32"/>
      <x:c r="D745" s="35"/>
      <x:c r="E745" s="32"/>
      <x:c r="F745" s="32"/>
      <x:c r="G745" s="32"/>
      <x:c r="H745" s="32"/>
      <x:c r="I745" s="32"/>
      <x:c r="J745" s="32"/>
      <x:c r="K745" s="32"/>
      <x:c r="L745" s="32"/>
      <x:c r="M745" s="32"/>
      <x:c r="N745" s="37"/>
      <x:c r="O745" s="32"/>
      <x:c r="P745" s="40"/>
      <x:c r="Q745" s="40"/>
      <x:c r="R745" s="41" t="str">
        <x:f>IF(OR(P745="",Q745=""),"",P745-Q745)</x:f>
      </x:c>
      <x:c r="S745" s="32"/>
      <x:c r="T745" s="32"/>
      <x:c r="U745" s="32"/>
      <x:c r="V745" s="32"/>
      <x:c r="W745" s="32"/>
      <x:c r="X745" s="32"/>
      <x:c r="Y745" s="43" t="str">
        <x:f>IF(OR(X745="",X745="Pending"),"",IF(X745="Rejected",0,IF(AND(U745="Ya",V745="Ya",W745="Ya"),1,"")))</x:f>
      </x:c>
      <x:c r="AA745" s="32"/>
      <x:c r="AB745" s="32"/>
      <x:c r="AC745" s="32"/>
      <x:c r="AD745" s="32"/>
      <x:c r="AE745" s="32"/>
      <x:c r="AF745" s="32"/>
      <x:c r="AG745" s="33" t="str">
        <x:f>IF(OR(AE745="",AF745=""),"",IF(AE745="Positif",IF(AF745="Positif","TP","FN"),IF(AF745="Positif","FP","TN")))</x:f>
      </x:c>
    </x:row>
    <x:row r="746">
      <x:c r="A746" s="32"/>
      <x:c r="B746" s="32"/>
      <x:c r="C746" s="32"/>
      <x:c r="D746" s="35"/>
      <x:c r="E746" s="32"/>
      <x:c r="F746" s="32"/>
      <x:c r="G746" s="32"/>
      <x:c r="H746" s="32"/>
      <x:c r="I746" s="32"/>
      <x:c r="J746" s="32"/>
      <x:c r="K746" s="32"/>
      <x:c r="L746" s="32"/>
      <x:c r="M746" s="32"/>
      <x:c r="N746" s="37"/>
      <x:c r="O746" s="32"/>
      <x:c r="P746" s="40"/>
      <x:c r="Q746" s="40"/>
      <x:c r="R746" s="41" t="str">
        <x:f>IF(OR(P746="",Q746=""),"",P746-Q746)</x:f>
      </x:c>
      <x:c r="S746" s="32"/>
      <x:c r="T746" s="32"/>
      <x:c r="U746" s="32"/>
      <x:c r="V746" s="32"/>
      <x:c r="W746" s="32"/>
      <x:c r="X746" s="32"/>
      <x:c r="Y746" s="43" t="str">
        <x:f>IF(OR(X746="",X746="Pending"),"",IF(X746="Rejected",0,IF(AND(U746="Ya",V746="Ya",W746="Ya"),1,"")))</x:f>
      </x:c>
      <x:c r="AA746" s="32"/>
      <x:c r="AB746" s="32"/>
      <x:c r="AC746" s="32"/>
      <x:c r="AD746" s="32"/>
      <x:c r="AE746" s="32"/>
      <x:c r="AF746" s="32"/>
      <x:c r="AG746" s="33" t="str">
        <x:f>IF(OR(AE746="",AF746=""),"",IF(AE746="Positif",IF(AF746="Positif","TP","FN"),IF(AF746="Positif","FP","TN")))</x:f>
      </x:c>
    </x:row>
    <x:row r="747">
      <x:c r="A747" s="32"/>
      <x:c r="B747" s="32"/>
      <x:c r="C747" s="32"/>
      <x:c r="D747" s="35"/>
      <x:c r="E747" s="32"/>
      <x:c r="F747" s="32"/>
      <x:c r="G747" s="32"/>
      <x:c r="H747" s="32"/>
      <x:c r="I747" s="32"/>
      <x:c r="J747" s="32"/>
      <x:c r="K747" s="32"/>
      <x:c r="L747" s="32"/>
      <x:c r="M747" s="32"/>
      <x:c r="N747" s="37"/>
      <x:c r="O747" s="32"/>
      <x:c r="P747" s="40"/>
      <x:c r="Q747" s="40"/>
      <x:c r="R747" s="41" t="str">
        <x:f>IF(OR(P747="",Q747=""),"",P747-Q747)</x:f>
      </x:c>
      <x:c r="S747" s="32"/>
      <x:c r="T747" s="32"/>
      <x:c r="U747" s="32"/>
      <x:c r="V747" s="32"/>
      <x:c r="W747" s="32"/>
      <x:c r="X747" s="32"/>
      <x:c r="Y747" s="43" t="str">
        <x:f>IF(OR(X747="",X747="Pending"),"",IF(X747="Rejected",0,IF(AND(U747="Ya",V747="Ya",W747="Ya"),1,"")))</x:f>
      </x:c>
      <x:c r="AA747" s="32"/>
      <x:c r="AB747" s="32"/>
      <x:c r="AC747" s="32"/>
      <x:c r="AD747" s="32"/>
      <x:c r="AE747" s="32"/>
      <x:c r="AF747" s="32"/>
      <x:c r="AG747" s="33" t="str">
        <x:f>IF(OR(AE747="",AF747=""),"",IF(AE747="Positif",IF(AF747="Positif","TP","FN"),IF(AF747="Positif","FP","TN")))</x:f>
      </x:c>
    </x:row>
    <x:row r="748">
      <x:c r="A748" s="32"/>
      <x:c r="B748" s="32"/>
      <x:c r="C748" s="32"/>
      <x:c r="D748" s="35"/>
      <x:c r="E748" s="32"/>
      <x:c r="F748" s="32"/>
      <x:c r="G748" s="32"/>
      <x:c r="H748" s="32"/>
      <x:c r="I748" s="32"/>
      <x:c r="J748" s="32"/>
      <x:c r="K748" s="32"/>
      <x:c r="L748" s="32"/>
      <x:c r="M748" s="32"/>
      <x:c r="N748" s="37"/>
      <x:c r="O748" s="32"/>
      <x:c r="P748" s="40"/>
      <x:c r="Q748" s="40"/>
      <x:c r="R748" s="41" t="str">
        <x:f>IF(OR(P748="",Q748=""),"",P748-Q748)</x:f>
      </x:c>
      <x:c r="S748" s="32"/>
      <x:c r="T748" s="32"/>
      <x:c r="U748" s="32"/>
      <x:c r="V748" s="32"/>
      <x:c r="W748" s="32"/>
      <x:c r="X748" s="32"/>
      <x:c r="Y748" s="43" t="str">
        <x:f>IF(OR(X748="",X748="Pending"),"",IF(X748="Rejected",0,IF(AND(U748="Ya",V748="Ya",W748="Ya"),1,"")))</x:f>
      </x:c>
      <x:c r="AA748" s="32"/>
      <x:c r="AB748" s="32"/>
      <x:c r="AC748" s="32"/>
      <x:c r="AD748" s="32"/>
      <x:c r="AE748" s="32"/>
      <x:c r="AF748" s="32"/>
      <x:c r="AG748" s="33" t="str">
        <x:f>IF(OR(AE748="",AF748=""),"",IF(AE748="Positif",IF(AF748="Positif","TP","FN"),IF(AF748="Positif","FP","TN")))</x:f>
      </x:c>
    </x:row>
    <x:row r="749">
      <x:c r="A749" s="32"/>
      <x:c r="B749" s="32"/>
      <x:c r="C749" s="32"/>
      <x:c r="D749" s="35"/>
      <x:c r="E749" s="32"/>
      <x:c r="F749" s="32"/>
      <x:c r="G749" s="32"/>
      <x:c r="H749" s="32"/>
      <x:c r="I749" s="32"/>
      <x:c r="J749" s="32"/>
      <x:c r="K749" s="32"/>
      <x:c r="L749" s="32"/>
      <x:c r="M749" s="32"/>
      <x:c r="N749" s="37"/>
      <x:c r="O749" s="32"/>
      <x:c r="P749" s="40"/>
      <x:c r="Q749" s="40"/>
      <x:c r="R749" s="41" t="str">
        <x:f>IF(OR(P749="",Q749=""),"",P749-Q749)</x:f>
      </x:c>
      <x:c r="S749" s="32"/>
      <x:c r="T749" s="32"/>
      <x:c r="U749" s="32"/>
      <x:c r="V749" s="32"/>
      <x:c r="W749" s="32"/>
      <x:c r="X749" s="32"/>
      <x:c r="Y749" s="43" t="str">
        <x:f>IF(OR(X749="",X749="Pending"),"",IF(X749="Rejected",0,IF(AND(U749="Ya",V749="Ya",W749="Ya"),1,"")))</x:f>
      </x:c>
      <x:c r="AA749" s="32"/>
      <x:c r="AB749" s="32"/>
      <x:c r="AC749" s="32"/>
      <x:c r="AD749" s="32"/>
      <x:c r="AE749" s="32"/>
      <x:c r="AF749" s="32"/>
      <x:c r="AG749" s="33" t="str">
        <x:f>IF(OR(AE749="",AF749=""),"",IF(AE749="Positif",IF(AF749="Positif","TP","FN"),IF(AF749="Positif","FP","TN")))</x:f>
      </x:c>
    </x:row>
    <x:row r="750">
      <x:c r="A750" s="32"/>
      <x:c r="B750" s="32"/>
      <x:c r="C750" s="32"/>
      <x:c r="D750" s="35"/>
      <x:c r="E750" s="32"/>
      <x:c r="F750" s="32"/>
      <x:c r="G750" s="32"/>
      <x:c r="H750" s="32"/>
      <x:c r="I750" s="32"/>
      <x:c r="J750" s="32"/>
      <x:c r="K750" s="32"/>
      <x:c r="L750" s="32"/>
      <x:c r="M750" s="32"/>
      <x:c r="N750" s="37"/>
      <x:c r="O750" s="32"/>
      <x:c r="P750" s="40"/>
      <x:c r="Q750" s="40"/>
      <x:c r="R750" s="41" t="str">
        <x:f>IF(OR(P750="",Q750=""),"",P750-Q750)</x:f>
      </x:c>
      <x:c r="S750" s="32"/>
      <x:c r="T750" s="32"/>
      <x:c r="U750" s="32"/>
      <x:c r="V750" s="32"/>
      <x:c r="W750" s="32"/>
      <x:c r="X750" s="32"/>
      <x:c r="Y750" s="43" t="str">
        <x:f>IF(OR(X750="",X750="Pending"),"",IF(X750="Rejected",0,IF(AND(U750="Ya",V750="Ya",W750="Ya"),1,"")))</x:f>
      </x:c>
      <x:c r="AA750" s="32"/>
      <x:c r="AB750" s="32"/>
      <x:c r="AC750" s="32"/>
      <x:c r="AD750" s="32"/>
      <x:c r="AE750" s="32"/>
      <x:c r="AF750" s="32"/>
      <x:c r="AG750" s="33" t="str">
        <x:f>IF(OR(AE750="",AF750=""),"",IF(AE750="Positif",IF(AF750="Positif","TP","FN"),IF(AF750="Positif","FP","TN")))</x:f>
      </x:c>
    </x:row>
    <x:row r="751">
      <x:c r="A751" s="32"/>
      <x:c r="B751" s="32"/>
      <x:c r="C751" s="32"/>
      <x:c r="D751" s="35"/>
      <x:c r="E751" s="32"/>
      <x:c r="F751" s="32"/>
      <x:c r="G751" s="32"/>
      <x:c r="H751" s="32"/>
      <x:c r="I751" s="32"/>
      <x:c r="J751" s="32"/>
      <x:c r="K751" s="32"/>
      <x:c r="L751" s="32"/>
      <x:c r="M751" s="32"/>
      <x:c r="N751" s="37"/>
      <x:c r="O751" s="32"/>
      <x:c r="P751" s="40"/>
      <x:c r="Q751" s="40"/>
      <x:c r="R751" s="41" t="str">
        <x:f>IF(OR(P751="",Q751=""),"",P751-Q751)</x:f>
      </x:c>
      <x:c r="S751" s="32"/>
      <x:c r="T751" s="32"/>
      <x:c r="U751" s="32"/>
      <x:c r="V751" s="32"/>
      <x:c r="W751" s="32"/>
      <x:c r="X751" s="32"/>
      <x:c r="Y751" s="43" t="str">
        <x:f>IF(OR(X751="",X751="Pending"),"",IF(X751="Rejected",0,IF(AND(U751="Ya",V751="Ya",W751="Ya"),1,"")))</x:f>
      </x:c>
      <x:c r="AA751" s="32"/>
      <x:c r="AB751" s="32"/>
      <x:c r="AC751" s="32"/>
      <x:c r="AD751" s="32"/>
      <x:c r="AE751" s="32"/>
      <x:c r="AF751" s="32"/>
      <x:c r="AG751" s="33" t="str">
        <x:f>IF(OR(AE751="",AF751=""),"",IF(AE751="Positif",IF(AF751="Positif","TP","FN"),IF(AF751="Positif","FP","TN")))</x:f>
      </x:c>
    </x:row>
    <x:row r="752">
      <x:c r="A752" s="32"/>
      <x:c r="B752" s="32"/>
      <x:c r="C752" s="32"/>
      <x:c r="D752" s="35"/>
      <x:c r="E752" s="32"/>
      <x:c r="F752" s="32"/>
      <x:c r="G752" s="32"/>
      <x:c r="H752" s="32"/>
      <x:c r="I752" s="32"/>
      <x:c r="J752" s="32"/>
      <x:c r="K752" s="32"/>
      <x:c r="L752" s="32"/>
      <x:c r="M752" s="32"/>
      <x:c r="N752" s="37"/>
      <x:c r="O752" s="32"/>
      <x:c r="P752" s="40"/>
      <x:c r="Q752" s="40"/>
      <x:c r="R752" s="41" t="str">
        <x:f>IF(OR(P752="",Q752=""),"",P752-Q752)</x:f>
      </x:c>
      <x:c r="S752" s="32"/>
      <x:c r="T752" s="32"/>
      <x:c r="U752" s="32"/>
      <x:c r="V752" s="32"/>
      <x:c r="W752" s="32"/>
      <x:c r="X752" s="32"/>
      <x:c r="Y752" s="43" t="str">
        <x:f>IF(OR(X752="",X752="Pending"),"",IF(X752="Rejected",0,IF(AND(U752="Ya",V752="Ya",W752="Ya"),1,"")))</x:f>
      </x:c>
      <x:c r="AA752" s="32"/>
      <x:c r="AB752" s="32"/>
      <x:c r="AC752" s="32"/>
      <x:c r="AD752" s="32"/>
      <x:c r="AE752" s="32"/>
      <x:c r="AF752" s="32"/>
      <x:c r="AG752" s="33" t="str">
        <x:f>IF(OR(AE752="",AF752=""),"",IF(AE752="Positif",IF(AF752="Positif","TP","FN"),IF(AF752="Positif","FP","TN")))</x:f>
      </x:c>
    </x:row>
    <x:row r="753">
      <x:c r="A753" s="32"/>
      <x:c r="B753" s="32"/>
      <x:c r="C753" s="32"/>
      <x:c r="D753" s="35"/>
      <x:c r="E753" s="32"/>
      <x:c r="F753" s="32"/>
      <x:c r="G753" s="32"/>
      <x:c r="H753" s="32"/>
      <x:c r="I753" s="32"/>
      <x:c r="J753" s="32"/>
      <x:c r="K753" s="32"/>
      <x:c r="L753" s="32"/>
      <x:c r="M753" s="32"/>
      <x:c r="N753" s="37"/>
      <x:c r="O753" s="32"/>
      <x:c r="P753" s="40"/>
      <x:c r="Q753" s="40"/>
      <x:c r="R753" s="41" t="str">
        <x:f>IF(OR(P753="",Q753=""),"",P753-Q753)</x:f>
      </x:c>
      <x:c r="S753" s="32"/>
      <x:c r="T753" s="32"/>
      <x:c r="U753" s="32"/>
      <x:c r="V753" s="32"/>
      <x:c r="W753" s="32"/>
      <x:c r="X753" s="32"/>
      <x:c r="Y753" s="43" t="str">
        <x:f>IF(OR(X753="",X753="Pending"),"",IF(X753="Rejected",0,IF(AND(U753="Ya",V753="Ya",W753="Ya"),1,"")))</x:f>
      </x:c>
      <x:c r="AA753" s="32"/>
      <x:c r="AB753" s="32"/>
      <x:c r="AC753" s="32"/>
      <x:c r="AD753" s="32"/>
      <x:c r="AE753" s="32"/>
      <x:c r="AF753" s="32"/>
      <x:c r="AG753" s="33" t="str">
        <x:f>IF(OR(AE753="",AF753=""),"",IF(AE753="Positif",IF(AF753="Positif","TP","FN"),IF(AF753="Positif","FP","TN")))</x:f>
      </x:c>
    </x:row>
    <x:row r="754">
      <x:c r="A754" s="32"/>
      <x:c r="B754" s="32"/>
      <x:c r="C754" s="32"/>
      <x:c r="D754" s="35"/>
      <x:c r="E754" s="32"/>
      <x:c r="F754" s="32"/>
      <x:c r="G754" s="32"/>
      <x:c r="H754" s="32"/>
      <x:c r="I754" s="32"/>
      <x:c r="J754" s="32"/>
      <x:c r="K754" s="32"/>
      <x:c r="L754" s="32"/>
      <x:c r="M754" s="32"/>
      <x:c r="N754" s="37"/>
      <x:c r="O754" s="32"/>
      <x:c r="P754" s="40"/>
      <x:c r="Q754" s="40"/>
      <x:c r="R754" s="41" t="str">
        <x:f>IF(OR(P754="",Q754=""),"",P754-Q754)</x:f>
      </x:c>
      <x:c r="S754" s="32"/>
      <x:c r="T754" s="32"/>
      <x:c r="U754" s="32"/>
      <x:c r="V754" s="32"/>
      <x:c r="W754" s="32"/>
      <x:c r="X754" s="32"/>
      <x:c r="Y754" s="43" t="str">
        <x:f>IF(OR(X754="",X754="Pending"),"",IF(X754="Rejected",0,IF(AND(U754="Ya",V754="Ya",W754="Ya"),1,"")))</x:f>
      </x:c>
      <x:c r="AA754" s="32"/>
      <x:c r="AB754" s="32"/>
      <x:c r="AC754" s="32"/>
      <x:c r="AD754" s="32"/>
      <x:c r="AE754" s="32"/>
      <x:c r="AF754" s="32"/>
      <x:c r="AG754" s="33" t="str">
        <x:f>IF(OR(AE754="",AF754=""),"",IF(AE754="Positif",IF(AF754="Positif","TP","FN"),IF(AF754="Positif","FP","TN")))</x:f>
      </x:c>
    </x:row>
    <x:row r="755">
      <x:c r="A755" s="32"/>
      <x:c r="B755" s="32"/>
      <x:c r="C755" s="32"/>
      <x:c r="D755" s="35"/>
      <x:c r="E755" s="32"/>
      <x:c r="F755" s="32"/>
      <x:c r="G755" s="32"/>
      <x:c r="H755" s="32"/>
      <x:c r="I755" s="32"/>
      <x:c r="J755" s="32"/>
      <x:c r="K755" s="32"/>
      <x:c r="L755" s="32"/>
      <x:c r="M755" s="32"/>
      <x:c r="N755" s="37"/>
      <x:c r="O755" s="32"/>
      <x:c r="P755" s="40"/>
      <x:c r="Q755" s="40"/>
      <x:c r="R755" s="41" t="str">
        <x:f>IF(OR(P755="",Q755=""),"",P755-Q755)</x:f>
      </x:c>
      <x:c r="S755" s="32"/>
      <x:c r="T755" s="32"/>
      <x:c r="U755" s="32"/>
      <x:c r="V755" s="32"/>
      <x:c r="W755" s="32"/>
      <x:c r="X755" s="32"/>
      <x:c r="Y755" s="43" t="str">
        <x:f>IF(OR(X755="",X755="Pending"),"",IF(X755="Rejected",0,IF(AND(U755="Ya",V755="Ya",W755="Ya"),1,"")))</x:f>
      </x:c>
      <x:c r="AA755" s="32"/>
      <x:c r="AB755" s="32"/>
      <x:c r="AC755" s="32"/>
      <x:c r="AD755" s="32"/>
      <x:c r="AE755" s="32"/>
      <x:c r="AF755" s="32"/>
      <x:c r="AG755" s="33" t="str">
        <x:f>IF(OR(AE755="",AF755=""),"",IF(AE755="Positif",IF(AF755="Positif","TP","FN"),IF(AF755="Positif","FP","TN")))</x:f>
      </x:c>
    </x:row>
    <x:row r="756">
      <x:c r="A756" s="32"/>
      <x:c r="B756" s="32"/>
      <x:c r="C756" s="32"/>
      <x:c r="D756" s="35"/>
      <x:c r="E756" s="32"/>
      <x:c r="F756" s="32"/>
      <x:c r="G756" s="32"/>
      <x:c r="H756" s="32"/>
      <x:c r="I756" s="32"/>
      <x:c r="J756" s="32"/>
      <x:c r="K756" s="32"/>
      <x:c r="L756" s="32"/>
      <x:c r="M756" s="32"/>
      <x:c r="N756" s="37"/>
      <x:c r="O756" s="32"/>
      <x:c r="P756" s="40"/>
      <x:c r="Q756" s="40"/>
      <x:c r="R756" s="41" t="str">
        <x:f>IF(OR(P756="",Q756=""),"",P756-Q756)</x:f>
      </x:c>
      <x:c r="S756" s="32"/>
      <x:c r="T756" s="32"/>
      <x:c r="U756" s="32"/>
      <x:c r="V756" s="32"/>
      <x:c r="W756" s="32"/>
      <x:c r="X756" s="32"/>
      <x:c r="Y756" s="43" t="str">
        <x:f>IF(OR(X756="",X756="Pending"),"",IF(X756="Rejected",0,IF(AND(U756="Ya",V756="Ya",W756="Ya"),1,"")))</x:f>
      </x:c>
      <x:c r="AA756" s="32"/>
      <x:c r="AB756" s="32"/>
      <x:c r="AC756" s="32"/>
      <x:c r="AD756" s="32"/>
      <x:c r="AE756" s="32"/>
      <x:c r="AF756" s="32"/>
      <x:c r="AG756" s="33" t="str">
        <x:f>IF(OR(AE756="",AF756=""),"",IF(AE756="Positif",IF(AF756="Positif","TP","FN"),IF(AF756="Positif","FP","TN")))</x:f>
      </x:c>
    </x:row>
    <x:row r="757">
      <x:c r="A757" s="32"/>
      <x:c r="B757" s="32"/>
      <x:c r="C757" s="32"/>
      <x:c r="D757" s="35"/>
      <x:c r="E757" s="32"/>
      <x:c r="F757" s="32"/>
      <x:c r="G757" s="32"/>
      <x:c r="H757" s="32"/>
      <x:c r="I757" s="32"/>
      <x:c r="J757" s="32"/>
      <x:c r="K757" s="32"/>
      <x:c r="L757" s="32"/>
      <x:c r="M757" s="32"/>
      <x:c r="N757" s="37"/>
      <x:c r="O757" s="32"/>
      <x:c r="P757" s="40"/>
      <x:c r="Q757" s="40"/>
      <x:c r="R757" s="41" t="str">
        <x:f>IF(OR(P757="",Q757=""),"",P757-Q757)</x:f>
      </x:c>
      <x:c r="S757" s="32"/>
      <x:c r="T757" s="32"/>
      <x:c r="U757" s="32"/>
      <x:c r="V757" s="32"/>
      <x:c r="W757" s="32"/>
      <x:c r="X757" s="32"/>
      <x:c r="Y757" s="43" t="str">
        <x:f>IF(OR(X757="",X757="Pending"),"",IF(X757="Rejected",0,IF(AND(U757="Ya",V757="Ya",W757="Ya"),1,"")))</x:f>
      </x:c>
      <x:c r="AA757" s="32"/>
      <x:c r="AB757" s="32"/>
      <x:c r="AC757" s="32"/>
      <x:c r="AD757" s="32"/>
      <x:c r="AE757" s="32"/>
      <x:c r="AF757" s="32"/>
      <x:c r="AG757" s="33" t="str">
        <x:f>IF(OR(AE757="",AF757=""),"",IF(AE757="Positif",IF(AF757="Positif","TP","FN"),IF(AF757="Positif","FP","TN")))</x:f>
      </x:c>
    </x:row>
    <x:row r="758">
      <x:c r="A758" s="32"/>
      <x:c r="B758" s="32"/>
      <x:c r="C758" s="32"/>
      <x:c r="D758" s="35"/>
      <x:c r="E758" s="32"/>
      <x:c r="F758" s="32"/>
      <x:c r="G758" s="32"/>
      <x:c r="H758" s="32"/>
      <x:c r="I758" s="32"/>
      <x:c r="J758" s="32"/>
      <x:c r="K758" s="32"/>
      <x:c r="L758" s="32"/>
      <x:c r="M758" s="32"/>
      <x:c r="N758" s="37"/>
      <x:c r="O758" s="32"/>
      <x:c r="P758" s="40"/>
      <x:c r="Q758" s="40"/>
      <x:c r="R758" s="41" t="str">
        <x:f>IF(OR(P758="",Q758=""),"",P758-Q758)</x:f>
      </x:c>
      <x:c r="S758" s="32"/>
      <x:c r="T758" s="32"/>
      <x:c r="U758" s="32"/>
      <x:c r="V758" s="32"/>
      <x:c r="W758" s="32"/>
      <x:c r="X758" s="32"/>
      <x:c r="Y758" s="43" t="str">
        <x:f>IF(OR(X758="",X758="Pending"),"",IF(X758="Rejected",0,IF(AND(U758="Ya",V758="Ya",W758="Ya"),1,"")))</x:f>
      </x:c>
      <x:c r="AA758" s="32"/>
      <x:c r="AB758" s="32"/>
      <x:c r="AC758" s="32"/>
      <x:c r="AD758" s="32"/>
      <x:c r="AE758" s="32"/>
      <x:c r="AF758" s="32"/>
      <x:c r="AG758" s="33" t="str">
        <x:f>IF(OR(AE758="",AF758=""),"",IF(AE758="Positif",IF(AF758="Positif","TP","FN"),IF(AF758="Positif","FP","TN")))</x:f>
      </x:c>
    </x:row>
    <x:row r="759">
      <x:c r="A759" s="32"/>
      <x:c r="B759" s="32"/>
      <x:c r="C759" s="32"/>
      <x:c r="D759" s="35"/>
      <x:c r="E759" s="32"/>
      <x:c r="F759" s="32"/>
      <x:c r="G759" s="32"/>
      <x:c r="H759" s="32"/>
      <x:c r="I759" s="32"/>
      <x:c r="J759" s="32"/>
      <x:c r="K759" s="32"/>
      <x:c r="L759" s="32"/>
      <x:c r="M759" s="32"/>
      <x:c r="N759" s="37"/>
      <x:c r="O759" s="32"/>
      <x:c r="P759" s="40"/>
      <x:c r="Q759" s="40"/>
      <x:c r="R759" s="41" t="str">
        <x:f>IF(OR(P759="",Q759=""),"",P759-Q759)</x:f>
      </x:c>
      <x:c r="S759" s="32"/>
      <x:c r="T759" s="32"/>
      <x:c r="U759" s="32"/>
      <x:c r="V759" s="32"/>
      <x:c r="W759" s="32"/>
      <x:c r="X759" s="32"/>
      <x:c r="Y759" s="43" t="str">
        <x:f>IF(OR(X759="",X759="Pending"),"",IF(X759="Rejected",0,IF(AND(U759="Ya",V759="Ya",W759="Ya"),1,"")))</x:f>
      </x:c>
      <x:c r="AA759" s="32"/>
      <x:c r="AB759" s="32"/>
      <x:c r="AC759" s="32"/>
      <x:c r="AD759" s="32"/>
      <x:c r="AE759" s="32"/>
      <x:c r="AF759" s="32"/>
      <x:c r="AG759" s="33" t="str">
        <x:f>IF(OR(AE759="",AF759=""),"",IF(AE759="Positif",IF(AF759="Positif","TP","FN"),IF(AF759="Positif","FP","TN")))</x:f>
      </x:c>
    </x:row>
    <x:row r="760">
      <x:c r="A760" s="32"/>
      <x:c r="B760" s="32"/>
      <x:c r="C760" s="32"/>
      <x:c r="D760" s="35"/>
      <x:c r="E760" s="32"/>
      <x:c r="F760" s="32"/>
      <x:c r="G760" s="32"/>
      <x:c r="H760" s="32"/>
      <x:c r="I760" s="32"/>
      <x:c r="J760" s="32"/>
      <x:c r="K760" s="32"/>
      <x:c r="L760" s="32"/>
      <x:c r="M760" s="32"/>
      <x:c r="N760" s="37"/>
      <x:c r="O760" s="32"/>
      <x:c r="P760" s="40"/>
      <x:c r="Q760" s="40"/>
      <x:c r="R760" s="41" t="str">
        <x:f>IF(OR(P760="",Q760=""),"",P760-Q760)</x:f>
      </x:c>
      <x:c r="S760" s="32"/>
      <x:c r="T760" s="32"/>
      <x:c r="U760" s="32"/>
      <x:c r="V760" s="32"/>
      <x:c r="W760" s="32"/>
      <x:c r="X760" s="32"/>
      <x:c r="Y760" s="43" t="str">
        <x:f>IF(OR(X760="",X760="Pending"),"",IF(X760="Rejected",0,IF(AND(U760="Ya",V760="Ya",W760="Ya"),1,"")))</x:f>
      </x:c>
      <x:c r="AA760" s="32"/>
      <x:c r="AB760" s="32"/>
      <x:c r="AC760" s="32"/>
      <x:c r="AD760" s="32"/>
      <x:c r="AE760" s="32"/>
      <x:c r="AF760" s="32"/>
      <x:c r="AG760" s="33" t="str">
        <x:f>IF(OR(AE760="",AF760=""),"",IF(AE760="Positif",IF(AF760="Positif","TP","FN"),IF(AF760="Positif","FP","TN")))</x:f>
      </x:c>
    </x:row>
    <x:row r="761">
      <x:c r="A761" s="32"/>
      <x:c r="B761" s="32"/>
      <x:c r="C761" s="32"/>
      <x:c r="D761" s="35"/>
      <x:c r="E761" s="32"/>
      <x:c r="F761" s="32"/>
      <x:c r="G761" s="32"/>
      <x:c r="H761" s="32"/>
      <x:c r="I761" s="32"/>
      <x:c r="J761" s="32"/>
      <x:c r="K761" s="32"/>
      <x:c r="L761" s="32"/>
      <x:c r="M761" s="32"/>
      <x:c r="N761" s="37"/>
      <x:c r="O761" s="32"/>
      <x:c r="P761" s="40"/>
      <x:c r="Q761" s="40"/>
      <x:c r="R761" s="41" t="str">
        <x:f>IF(OR(P761="",Q761=""),"",P761-Q761)</x:f>
      </x:c>
      <x:c r="S761" s="32"/>
      <x:c r="T761" s="32"/>
      <x:c r="U761" s="32"/>
      <x:c r="V761" s="32"/>
      <x:c r="W761" s="32"/>
      <x:c r="X761" s="32"/>
      <x:c r="Y761" s="43" t="str">
        <x:f>IF(OR(X761="",X761="Pending"),"",IF(X761="Rejected",0,IF(AND(U761="Ya",V761="Ya",W761="Ya"),1,"")))</x:f>
      </x:c>
      <x:c r="AA761" s="32"/>
      <x:c r="AB761" s="32"/>
      <x:c r="AC761" s="32"/>
      <x:c r="AD761" s="32"/>
      <x:c r="AE761" s="32"/>
      <x:c r="AF761" s="32"/>
      <x:c r="AG761" s="33" t="str">
        <x:f>IF(OR(AE761="",AF761=""),"",IF(AE761="Positif",IF(AF761="Positif","TP","FN"),IF(AF761="Positif","FP","TN")))</x:f>
      </x:c>
    </x:row>
    <x:row r="762">
      <x:c r="A762" s="32"/>
      <x:c r="B762" s="32"/>
      <x:c r="C762" s="32"/>
      <x:c r="D762" s="35"/>
      <x:c r="E762" s="32"/>
      <x:c r="F762" s="32"/>
      <x:c r="G762" s="32"/>
      <x:c r="H762" s="32"/>
      <x:c r="I762" s="32"/>
      <x:c r="J762" s="32"/>
      <x:c r="K762" s="32"/>
      <x:c r="L762" s="32"/>
      <x:c r="M762" s="32"/>
      <x:c r="N762" s="37"/>
      <x:c r="O762" s="32"/>
      <x:c r="P762" s="40"/>
      <x:c r="Q762" s="40"/>
      <x:c r="R762" s="41" t="str">
        <x:f>IF(OR(P762="",Q762=""),"",P762-Q762)</x:f>
      </x:c>
      <x:c r="S762" s="32"/>
      <x:c r="T762" s="32"/>
      <x:c r="U762" s="32"/>
      <x:c r="V762" s="32"/>
      <x:c r="W762" s="32"/>
      <x:c r="X762" s="32"/>
      <x:c r="Y762" s="43" t="str">
        <x:f>IF(OR(X762="",X762="Pending"),"",IF(X762="Rejected",0,IF(AND(U762="Ya",V762="Ya",W762="Ya"),1,"")))</x:f>
      </x:c>
      <x:c r="AA762" s="32"/>
      <x:c r="AB762" s="32"/>
      <x:c r="AC762" s="32"/>
      <x:c r="AD762" s="32"/>
      <x:c r="AE762" s="32"/>
      <x:c r="AF762" s="32"/>
      <x:c r="AG762" s="33" t="str">
        <x:f>IF(OR(AE762="",AF762=""),"",IF(AE762="Positif",IF(AF762="Positif","TP","FN"),IF(AF762="Positif","FP","TN")))</x:f>
      </x:c>
    </x:row>
    <x:row r="763">
      <x:c r="A763" s="32"/>
      <x:c r="B763" s="32"/>
      <x:c r="C763" s="32"/>
      <x:c r="D763" s="35"/>
      <x:c r="E763" s="32"/>
      <x:c r="F763" s="32"/>
      <x:c r="G763" s="32"/>
      <x:c r="H763" s="32"/>
      <x:c r="I763" s="32"/>
      <x:c r="J763" s="32"/>
      <x:c r="K763" s="32"/>
      <x:c r="L763" s="32"/>
      <x:c r="M763" s="32"/>
      <x:c r="N763" s="37"/>
      <x:c r="O763" s="32"/>
      <x:c r="P763" s="40"/>
      <x:c r="Q763" s="40"/>
      <x:c r="R763" s="41" t="str">
        <x:f>IF(OR(P763="",Q763=""),"",P763-Q763)</x:f>
      </x:c>
      <x:c r="S763" s="32"/>
      <x:c r="T763" s="32"/>
      <x:c r="U763" s="32"/>
      <x:c r="V763" s="32"/>
      <x:c r="W763" s="32"/>
      <x:c r="X763" s="32"/>
      <x:c r="Y763" s="43" t="str">
        <x:f>IF(OR(X763="",X763="Pending"),"",IF(X763="Rejected",0,IF(AND(U763="Ya",V763="Ya",W763="Ya"),1,"")))</x:f>
      </x:c>
      <x:c r="AA763" s="32"/>
      <x:c r="AB763" s="32"/>
      <x:c r="AC763" s="32"/>
      <x:c r="AD763" s="32"/>
      <x:c r="AE763" s="32"/>
      <x:c r="AF763" s="32"/>
      <x:c r="AG763" s="33" t="str">
        <x:f>IF(OR(AE763="",AF763=""),"",IF(AE763="Positif",IF(AF763="Positif","TP","FN"),IF(AF763="Positif","FP","TN")))</x:f>
      </x:c>
    </x:row>
    <x:row r="764">
      <x:c r="A764" s="32"/>
      <x:c r="B764" s="32"/>
      <x:c r="C764" s="32"/>
      <x:c r="D764" s="35"/>
      <x:c r="E764" s="32"/>
      <x:c r="F764" s="32"/>
      <x:c r="G764" s="32"/>
      <x:c r="H764" s="32"/>
      <x:c r="I764" s="32"/>
      <x:c r="J764" s="32"/>
      <x:c r="K764" s="32"/>
      <x:c r="L764" s="32"/>
      <x:c r="M764" s="32"/>
      <x:c r="N764" s="37"/>
      <x:c r="O764" s="32"/>
      <x:c r="P764" s="40"/>
      <x:c r="Q764" s="40"/>
      <x:c r="R764" s="41" t="str">
        <x:f>IF(OR(P764="",Q764=""),"",P764-Q764)</x:f>
      </x:c>
      <x:c r="S764" s="32"/>
      <x:c r="T764" s="32"/>
      <x:c r="U764" s="32"/>
      <x:c r="V764" s="32"/>
      <x:c r="W764" s="32"/>
      <x:c r="X764" s="32"/>
      <x:c r="Y764" s="43" t="str">
        <x:f>IF(OR(X764="",X764="Pending"),"",IF(X764="Rejected",0,IF(AND(U764="Ya",V764="Ya",W764="Ya"),1,"")))</x:f>
      </x:c>
      <x:c r="AA764" s="32"/>
      <x:c r="AB764" s="32"/>
      <x:c r="AC764" s="32"/>
      <x:c r="AD764" s="32"/>
      <x:c r="AE764" s="32"/>
      <x:c r="AF764" s="32"/>
      <x:c r="AG764" s="33" t="str">
        <x:f>IF(OR(AE764="",AF764=""),"",IF(AE764="Positif",IF(AF764="Positif","TP","FN"),IF(AF764="Positif","FP","TN")))</x:f>
      </x:c>
    </x:row>
    <x:row r="765">
      <x:c r="A765" s="32"/>
      <x:c r="B765" s="32"/>
      <x:c r="C765" s="32"/>
      <x:c r="D765" s="35"/>
      <x:c r="E765" s="32"/>
      <x:c r="F765" s="32"/>
      <x:c r="G765" s="32"/>
      <x:c r="H765" s="32"/>
      <x:c r="I765" s="32"/>
      <x:c r="J765" s="32"/>
      <x:c r="K765" s="32"/>
      <x:c r="L765" s="32"/>
      <x:c r="M765" s="32"/>
      <x:c r="N765" s="37"/>
      <x:c r="O765" s="32"/>
      <x:c r="P765" s="40"/>
      <x:c r="Q765" s="40"/>
      <x:c r="R765" s="41" t="str">
        <x:f>IF(OR(P765="",Q765=""),"",P765-Q765)</x:f>
      </x:c>
      <x:c r="S765" s="32"/>
      <x:c r="T765" s="32"/>
      <x:c r="U765" s="32"/>
      <x:c r="V765" s="32"/>
      <x:c r="W765" s="32"/>
      <x:c r="X765" s="32"/>
      <x:c r="Y765" s="43" t="str">
        <x:f>IF(OR(X765="",X765="Pending"),"",IF(X765="Rejected",0,IF(AND(U765="Ya",V765="Ya",W765="Ya"),1,"")))</x:f>
      </x:c>
      <x:c r="AA765" s="32"/>
      <x:c r="AB765" s="32"/>
      <x:c r="AC765" s="32"/>
      <x:c r="AD765" s="32"/>
      <x:c r="AE765" s="32"/>
      <x:c r="AF765" s="32"/>
      <x:c r="AG765" s="33" t="str">
        <x:f>IF(OR(AE765="",AF765=""),"",IF(AE765="Positif",IF(AF765="Positif","TP","FN"),IF(AF765="Positif","FP","TN")))</x:f>
      </x:c>
    </x:row>
    <x:row r="766">
      <x:c r="A766" s="32"/>
      <x:c r="B766" s="32"/>
      <x:c r="C766" s="32"/>
      <x:c r="D766" s="35"/>
      <x:c r="E766" s="32"/>
      <x:c r="F766" s="32"/>
      <x:c r="G766" s="32"/>
      <x:c r="H766" s="32"/>
      <x:c r="I766" s="32"/>
      <x:c r="J766" s="32"/>
      <x:c r="K766" s="32"/>
      <x:c r="L766" s="32"/>
      <x:c r="M766" s="32"/>
      <x:c r="N766" s="37"/>
      <x:c r="O766" s="32"/>
      <x:c r="P766" s="40"/>
      <x:c r="Q766" s="40"/>
      <x:c r="R766" s="41" t="str">
        <x:f>IF(OR(P766="",Q766=""),"",P766-Q766)</x:f>
      </x:c>
      <x:c r="S766" s="32"/>
      <x:c r="T766" s="32"/>
      <x:c r="U766" s="32"/>
      <x:c r="V766" s="32"/>
      <x:c r="W766" s="32"/>
      <x:c r="X766" s="32"/>
      <x:c r="Y766" s="43" t="str">
        <x:f>IF(OR(X766="",X766="Pending"),"",IF(X766="Rejected",0,IF(AND(U766="Ya",V766="Ya",W766="Ya"),1,"")))</x:f>
      </x:c>
      <x:c r="AA766" s="32"/>
      <x:c r="AB766" s="32"/>
      <x:c r="AC766" s="32"/>
      <x:c r="AD766" s="32"/>
      <x:c r="AE766" s="32"/>
      <x:c r="AF766" s="32"/>
      <x:c r="AG766" s="33" t="str">
        <x:f>IF(OR(AE766="",AF766=""),"",IF(AE766="Positif",IF(AF766="Positif","TP","FN"),IF(AF766="Positif","FP","TN")))</x:f>
      </x:c>
    </x:row>
    <x:row r="767">
      <x:c r="A767" s="32"/>
      <x:c r="B767" s="32"/>
      <x:c r="C767" s="32"/>
      <x:c r="D767" s="35"/>
      <x:c r="E767" s="32"/>
      <x:c r="F767" s="32"/>
      <x:c r="G767" s="32"/>
      <x:c r="H767" s="32"/>
      <x:c r="I767" s="32"/>
      <x:c r="J767" s="32"/>
      <x:c r="K767" s="32"/>
      <x:c r="L767" s="32"/>
      <x:c r="M767" s="32"/>
      <x:c r="N767" s="37"/>
      <x:c r="O767" s="32"/>
      <x:c r="P767" s="40"/>
      <x:c r="Q767" s="40"/>
      <x:c r="R767" s="41" t="str">
        <x:f>IF(OR(P767="",Q767=""),"",P767-Q767)</x:f>
      </x:c>
      <x:c r="S767" s="32"/>
      <x:c r="T767" s="32"/>
      <x:c r="U767" s="32"/>
      <x:c r="V767" s="32"/>
      <x:c r="W767" s="32"/>
      <x:c r="X767" s="32"/>
      <x:c r="Y767" s="43" t="str">
        <x:f>IF(OR(X767="",X767="Pending"),"",IF(X767="Rejected",0,IF(AND(U767="Ya",V767="Ya",W767="Ya"),1,"")))</x:f>
      </x:c>
      <x:c r="AA767" s="32"/>
      <x:c r="AB767" s="32"/>
      <x:c r="AC767" s="32"/>
      <x:c r="AD767" s="32"/>
      <x:c r="AE767" s="32"/>
      <x:c r="AF767" s="32"/>
      <x:c r="AG767" s="33" t="str">
        <x:f>IF(OR(AE767="",AF767=""),"",IF(AE767="Positif",IF(AF767="Positif","TP","FN"),IF(AF767="Positif","FP","TN")))</x:f>
      </x:c>
    </x:row>
    <x:row r="768">
      <x:c r="A768" s="32"/>
      <x:c r="B768" s="32"/>
      <x:c r="C768" s="32"/>
      <x:c r="D768" s="35"/>
      <x:c r="E768" s="32"/>
      <x:c r="F768" s="32"/>
      <x:c r="G768" s="32"/>
      <x:c r="H768" s="32"/>
      <x:c r="I768" s="32"/>
      <x:c r="J768" s="32"/>
      <x:c r="K768" s="32"/>
      <x:c r="L768" s="32"/>
      <x:c r="M768" s="32"/>
      <x:c r="N768" s="37"/>
      <x:c r="O768" s="32"/>
      <x:c r="P768" s="40"/>
      <x:c r="Q768" s="40"/>
      <x:c r="R768" s="41" t="str">
        <x:f>IF(OR(P768="",Q768=""),"",P768-Q768)</x:f>
      </x:c>
      <x:c r="S768" s="32"/>
      <x:c r="T768" s="32"/>
      <x:c r="U768" s="32"/>
      <x:c r="V768" s="32"/>
      <x:c r="W768" s="32"/>
      <x:c r="X768" s="32"/>
      <x:c r="Y768" s="43" t="str">
        <x:f>IF(OR(X768="",X768="Pending"),"",IF(X768="Rejected",0,IF(AND(U768="Ya",V768="Ya",W768="Ya"),1,"")))</x:f>
      </x:c>
      <x:c r="AA768" s="32"/>
      <x:c r="AB768" s="32"/>
      <x:c r="AC768" s="32"/>
      <x:c r="AD768" s="32"/>
      <x:c r="AE768" s="32"/>
      <x:c r="AF768" s="32"/>
      <x:c r="AG768" s="33" t="str">
        <x:f>IF(OR(AE768="",AF768=""),"",IF(AE768="Positif",IF(AF768="Positif","TP","FN"),IF(AF768="Positif","FP","TN")))</x:f>
      </x:c>
    </x:row>
    <x:row r="769">
      <x:c r="A769" s="32"/>
      <x:c r="B769" s="32"/>
      <x:c r="C769" s="32"/>
      <x:c r="D769" s="35"/>
      <x:c r="E769" s="32"/>
      <x:c r="F769" s="32"/>
      <x:c r="G769" s="32"/>
      <x:c r="H769" s="32"/>
      <x:c r="I769" s="32"/>
      <x:c r="J769" s="32"/>
      <x:c r="K769" s="32"/>
      <x:c r="L769" s="32"/>
      <x:c r="M769" s="32"/>
      <x:c r="N769" s="37"/>
      <x:c r="O769" s="32"/>
      <x:c r="P769" s="40"/>
      <x:c r="Q769" s="40"/>
      <x:c r="R769" s="41" t="str">
        <x:f>IF(OR(P769="",Q769=""),"",P769-Q769)</x:f>
      </x:c>
      <x:c r="S769" s="32"/>
      <x:c r="T769" s="32"/>
      <x:c r="U769" s="32"/>
      <x:c r="V769" s="32"/>
      <x:c r="W769" s="32"/>
      <x:c r="X769" s="32"/>
      <x:c r="Y769" s="43" t="str">
        <x:f>IF(OR(X769="",X769="Pending"),"",IF(X769="Rejected",0,IF(AND(U769="Ya",V769="Ya",W769="Ya"),1,"")))</x:f>
      </x:c>
      <x:c r="AA769" s="32"/>
      <x:c r="AB769" s="32"/>
      <x:c r="AC769" s="32"/>
      <x:c r="AD769" s="32"/>
      <x:c r="AE769" s="32"/>
      <x:c r="AF769" s="32"/>
      <x:c r="AG769" s="33" t="str">
        <x:f>IF(OR(AE769="",AF769=""),"",IF(AE769="Positif",IF(AF769="Positif","TP","FN"),IF(AF769="Positif","FP","TN")))</x:f>
      </x:c>
    </x:row>
    <x:row r="770">
      <x:c r="A770" s="32"/>
      <x:c r="B770" s="32"/>
      <x:c r="C770" s="32"/>
      <x:c r="D770" s="35"/>
      <x:c r="E770" s="32"/>
      <x:c r="F770" s="32"/>
      <x:c r="G770" s="32"/>
      <x:c r="H770" s="32"/>
      <x:c r="I770" s="32"/>
      <x:c r="J770" s="32"/>
      <x:c r="K770" s="32"/>
      <x:c r="L770" s="32"/>
      <x:c r="M770" s="32"/>
      <x:c r="N770" s="37"/>
      <x:c r="O770" s="32"/>
      <x:c r="P770" s="40"/>
      <x:c r="Q770" s="40"/>
      <x:c r="R770" s="41" t="str">
        <x:f>IF(OR(P770="",Q770=""),"",P770-Q770)</x:f>
      </x:c>
      <x:c r="S770" s="32"/>
      <x:c r="T770" s="32"/>
      <x:c r="U770" s="32"/>
      <x:c r="V770" s="32"/>
      <x:c r="W770" s="32"/>
      <x:c r="X770" s="32"/>
      <x:c r="Y770" s="43" t="str">
        <x:f>IF(OR(X770="",X770="Pending"),"",IF(X770="Rejected",0,IF(AND(U770="Ya",V770="Ya",W770="Ya"),1,"")))</x:f>
      </x:c>
      <x:c r="AA770" s="32"/>
      <x:c r="AB770" s="32"/>
      <x:c r="AC770" s="32"/>
      <x:c r="AD770" s="32"/>
      <x:c r="AE770" s="32"/>
      <x:c r="AF770" s="32"/>
      <x:c r="AG770" s="33" t="str">
        <x:f>IF(OR(AE770="",AF770=""),"",IF(AE770="Positif",IF(AF770="Positif","TP","FN"),IF(AF770="Positif","FP","TN")))</x:f>
      </x:c>
    </x:row>
    <x:row r="771">
      <x:c r="A771" s="32"/>
      <x:c r="B771" s="32"/>
      <x:c r="C771" s="32"/>
      <x:c r="D771" s="35"/>
      <x:c r="E771" s="32"/>
      <x:c r="F771" s="32"/>
      <x:c r="G771" s="32"/>
      <x:c r="H771" s="32"/>
      <x:c r="I771" s="32"/>
      <x:c r="J771" s="32"/>
      <x:c r="K771" s="32"/>
      <x:c r="L771" s="32"/>
      <x:c r="M771" s="32"/>
      <x:c r="N771" s="37"/>
      <x:c r="O771" s="32"/>
      <x:c r="P771" s="40"/>
      <x:c r="Q771" s="40"/>
      <x:c r="R771" s="41" t="str">
        <x:f>IF(OR(P771="",Q771=""),"",P771-Q771)</x:f>
      </x:c>
      <x:c r="S771" s="32"/>
      <x:c r="T771" s="32"/>
      <x:c r="U771" s="32"/>
      <x:c r="V771" s="32"/>
      <x:c r="W771" s="32"/>
      <x:c r="X771" s="32"/>
      <x:c r="Y771" s="43" t="str">
        <x:f>IF(OR(X771="",X771="Pending"),"",IF(X771="Rejected",0,IF(AND(U771="Ya",V771="Ya",W771="Ya"),1,"")))</x:f>
      </x:c>
      <x:c r="AA771" s="32"/>
      <x:c r="AB771" s="32"/>
      <x:c r="AC771" s="32"/>
      <x:c r="AD771" s="32"/>
      <x:c r="AE771" s="32"/>
      <x:c r="AF771" s="32"/>
      <x:c r="AG771" s="33" t="str">
        <x:f>IF(OR(AE771="",AF771=""),"",IF(AE771="Positif",IF(AF771="Positif","TP","FN"),IF(AF771="Positif","FP","TN")))</x:f>
      </x:c>
    </x:row>
    <x:row r="772">
      <x:c r="A772" s="32"/>
      <x:c r="B772" s="32"/>
      <x:c r="C772" s="32"/>
      <x:c r="D772" s="35"/>
      <x:c r="E772" s="32"/>
      <x:c r="F772" s="32"/>
      <x:c r="G772" s="32"/>
      <x:c r="H772" s="32"/>
      <x:c r="I772" s="32"/>
      <x:c r="J772" s="32"/>
      <x:c r="K772" s="32"/>
      <x:c r="L772" s="32"/>
      <x:c r="M772" s="32"/>
      <x:c r="N772" s="37"/>
      <x:c r="O772" s="32"/>
      <x:c r="P772" s="40"/>
      <x:c r="Q772" s="40"/>
      <x:c r="R772" s="41" t="str">
        <x:f>IF(OR(P772="",Q772=""),"",P772-Q772)</x:f>
      </x:c>
      <x:c r="S772" s="32"/>
      <x:c r="T772" s="32"/>
      <x:c r="U772" s="32"/>
      <x:c r="V772" s="32"/>
      <x:c r="W772" s="32"/>
      <x:c r="X772" s="32"/>
      <x:c r="Y772" s="43" t="str">
        <x:f>IF(OR(X772="",X772="Pending"),"",IF(X772="Rejected",0,IF(AND(U772="Ya",V772="Ya",W772="Ya"),1,"")))</x:f>
      </x:c>
      <x:c r="AA772" s="32"/>
      <x:c r="AB772" s="32"/>
      <x:c r="AC772" s="32"/>
      <x:c r="AD772" s="32"/>
      <x:c r="AE772" s="32"/>
      <x:c r="AF772" s="32"/>
      <x:c r="AG772" s="33" t="str">
        <x:f>IF(OR(AE772="",AF772=""),"",IF(AE772="Positif",IF(AF772="Positif","TP","FN"),IF(AF772="Positif","FP","TN")))</x:f>
      </x:c>
    </x:row>
    <x:row r="773">
      <x:c r="A773" s="32"/>
      <x:c r="B773" s="32"/>
      <x:c r="C773" s="32"/>
      <x:c r="D773" s="35"/>
      <x:c r="E773" s="32"/>
      <x:c r="F773" s="32"/>
      <x:c r="G773" s="32"/>
      <x:c r="H773" s="32"/>
      <x:c r="I773" s="32"/>
      <x:c r="J773" s="32"/>
      <x:c r="K773" s="32"/>
      <x:c r="L773" s="32"/>
      <x:c r="M773" s="32"/>
      <x:c r="N773" s="37"/>
      <x:c r="O773" s="32"/>
      <x:c r="P773" s="40"/>
      <x:c r="Q773" s="40"/>
      <x:c r="R773" s="41" t="str">
        <x:f>IF(OR(P773="",Q773=""),"",P773-Q773)</x:f>
      </x:c>
      <x:c r="S773" s="32"/>
      <x:c r="T773" s="32"/>
      <x:c r="U773" s="32"/>
      <x:c r="V773" s="32"/>
      <x:c r="W773" s="32"/>
      <x:c r="X773" s="32"/>
      <x:c r="Y773" s="43" t="str">
        <x:f>IF(OR(X773="",X773="Pending"),"",IF(X773="Rejected",0,IF(AND(U773="Ya",V773="Ya",W773="Ya"),1,"")))</x:f>
      </x:c>
      <x:c r="AA773" s="32"/>
      <x:c r="AB773" s="32"/>
      <x:c r="AC773" s="32"/>
      <x:c r="AD773" s="32"/>
      <x:c r="AE773" s="32"/>
      <x:c r="AF773" s="32"/>
      <x:c r="AG773" s="33" t="str">
        <x:f>IF(OR(AE773="",AF773=""),"",IF(AE773="Positif",IF(AF773="Positif","TP","FN"),IF(AF773="Positif","FP","TN")))</x:f>
      </x:c>
    </x:row>
    <x:row r="774">
      <x:c r="A774" s="32"/>
      <x:c r="B774" s="32"/>
      <x:c r="C774" s="32"/>
      <x:c r="D774" s="35"/>
      <x:c r="E774" s="32"/>
      <x:c r="F774" s="32"/>
      <x:c r="G774" s="32"/>
      <x:c r="H774" s="32"/>
      <x:c r="I774" s="32"/>
      <x:c r="J774" s="32"/>
      <x:c r="K774" s="32"/>
      <x:c r="L774" s="32"/>
      <x:c r="M774" s="32"/>
      <x:c r="N774" s="37"/>
      <x:c r="O774" s="32"/>
      <x:c r="P774" s="40"/>
      <x:c r="Q774" s="40"/>
      <x:c r="R774" s="41" t="str">
        <x:f>IF(OR(P774="",Q774=""),"",P774-Q774)</x:f>
      </x:c>
      <x:c r="S774" s="32"/>
      <x:c r="T774" s="32"/>
      <x:c r="U774" s="32"/>
      <x:c r="V774" s="32"/>
      <x:c r="W774" s="32"/>
      <x:c r="X774" s="32"/>
      <x:c r="Y774" s="43" t="str">
        <x:f>IF(OR(X774="",X774="Pending"),"",IF(X774="Rejected",0,IF(AND(U774="Ya",V774="Ya",W774="Ya"),1,"")))</x:f>
      </x:c>
      <x:c r="AA774" s="32"/>
      <x:c r="AB774" s="32"/>
      <x:c r="AC774" s="32"/>
      <x:c r="AD774" s="32"/>
      <x:c r="AE774" s="32"/>
      <x:c r="AF774" s="32"/>
      <x:c r="AG774" s="33" t="str">
        <x:f>IF(OR(AE774="",AF774=""),"",IF(AE774="Positif",IF(AF774="Positif","TP","FN"),IF(AF774="Positif","FP","TN")))</x:f>
      </x:c>
    </x:row>
    <x:row r="775">
      <x:c r="A775" s="32"/>
      <x:c r="B775" s="32"/>
      <x:c r="C775" s="32"/>
      <x:c r="D775" s="35"/>
      <x:c r="E775" s="32"/>
      <x:c r="F775" s="32"/>
      <x:c r="G775" s="32"/>
      <x:c r="H775" s="32"/>
      <x:c r="I775" s="32"/>
      <x:c r="J775" s="32"/>
      <x:c r="K775" s="32"/>
      <x:c r="L775" s="32"/>
      <x:c r="M775" s="32"/>
      <x:c r="N775" s="37"/>
      <x:c r="O775" s="32"/>
      <x:c r="P775" s="40"/>
      <x:c r="Q775" s="40"/>
      <x:c r="R775" s="41" t="str">
        <x:f>IF(OR(P775="",Q775=""),"",P775-Q775)</x:f>
      </x:c>
      <x:c r="S775" s="32"/>
      <x:c r="T775" s="32"/>
      <x:c r="U775" s="32"/>
      <x:c r="V775" s="32"/>
      <x:c r="W775" s="32"/>
      <x:c r="X775" s="32"/>
      <x:c r="Y775" s="43" t="str">
        <x:f>IF(OR(X775="",X775="Pending"),"",IF(X775="Rejected",0,IF(AND(U775="Ya",V775="Ya",W775="Ya"),1,"")))</x:f>
      </x:c>
      <x:c r="AA775" s="32"/>
      <x:c r="AB775" s="32"/>
      <x:c r="AC775" s="32"/>
      <x:c r="AD775" s="32"/>
      <x:c r="AE775" s="32"/>
      <x:c r="AF775" s="32"/>
      <x:c r="AG775" s="33" t="str">
        <x:f>IF(OR(AE775="",AF775=""),"",IF(AE775="Positif",IF(AF775="Positif","TP","FN"),IF(AF775="Positif","FP","TN")))</x:f>
      </x:c>
    </x:row>
    <x:row r="776">
      <x:c r="A776" s="32"/>
      <x:c r="B776" s="32"/>
      <x:c r="C776" s="32"/>
      <x:c r="D776" s="35"/>
      <x:c r="E776" s="32"/>
      <x:c r="F776" s="32"/>
      <x:c r="G776" s="32"/>
      <x:c r="H776" s="32"/>
      <x:c r="I776" s="32"/>
      <x:c r="J776" s="32"/>
      <x:c r="K776" s="32"/>
      <x:c r="L776" s="32"/>
      <x:c r="M776" s="32"/>
      <x:c r="N776" s="37"/>
      <x:c r="O776" s="32"/>
      <x:c r="P776" s="40"/>
      <x:c r="Q776" s="40"/>
      <x:c r="R776" s="41" t="str">
        <x:f>IF(OR(P776="",Q776=""),"",P776-Q776)</x:f>
      </x:c>
      <x:c r="S776" s="32"/>
      <x:c r="T776" s="32"/>
      <x:c r="U776" s="32"/>
      <x:c r="V776" s="32"/>
      <x:c r="W776" s="32"/>
      <x:c r="X776" s="32"/>
      <x:c r="Y776" s="43" t="str">
        <x:f>IF(OR(X776="",X776="Pending"),"",IF(X776="Rejected",0,IF(AND(U776="Ya",V776="Ya",W776="Ya"),1,"")))</x:f>
      </x:c>
      <x:c r="AA776" s="32"/>
      <x:c r="AB776" s="32"/>
      <x:c r="AC776" s="32"/>
      <x:c r="AD776" s="32"/>
      <x:c r="AE776" s="32"/>
      <x:c r="AF776" s="32"/>
      <x:c r="AG776" s="33" t="str">
        <x:f>IF(OR(AE776="",AF776=""),"",IF(AE776="Positif",IF(AF776="Positif","TP","FN"),IF(AF776="Positif","FP","TN")))</x:f>
      </x:c>
    </x:row>
    <x:row r="777">
      <x:c r="A777" s="32"/>
      <x:c r="B777" s="32"/>
      <x:c r="C777" s="32"/>
      <x:c r="D777" s="35"/>
      <x:c r="E777" s="32"/>
      <x:c r="F777" s="32"/>
      <x:c r="G777" s="32"/>
      <x:c r="H777" s="32"/>
      <x:c r="I777" s="32"/>
      <x:c r="J777" s="32"/>
      <x:c r="K777" s="32"/>
      <x:c r="L777" s="32"/>
      <x:c r="M777" s="32"/>
      <x:c r="N777" s="37"/>
      <x:c r="O777" s="32"/>
      <x:c r="P777" s="40"/>
      <x:c r="Q777" s="40"/>
      <x:c r="R777" s="41" t="str">
        <x:f>IF(OR(P777="",Q777=""),"",P777-Q777)</x:f>
      </x:c>
      <x:c r="S777" s="32"/>
      <x:c r="T777" s="32"/>
      <x:c r="U777" s="32"/>
      <x:c r="V777" s="32"/>
      <x:c r="W777" s="32"/>
      <x:c r="X777" s="32"/>
      <x:c r="Y777" s="43" t="str">
        <x:f>IF(OR(X777="",X777="Pending"),"",IF(X777="Rejected",0,IF(AND(U777="Ya",V777="Ya",W777="Ya"),1,"")))</x:f>
      </x:c>
      <x:c r="AA777" s="32"/>
      <x:c r="AB777" s="32"/>
      <x:c r="AC777" s="32"/>
      <x:c r="AD777" s="32"/>
      <x:c r="AE777" s="32"/>
      <x:c r="AF777" s="32"/>
      <x:c r="AG777" s="33" t="str">
        <x:f>IF(OR(AE777="",AF777=""),"",IF(AE777="Positif",IF(AF777="Positif","TP","FN"),IF(AF777="Positif","FP","TN")))</x:f>
      </x:c>
    </x:row>
    <x:row r="778">
      <x:c r="A778" s="32"/>
      <x:c r="B778" s="32"/>
      <x:c r="C778" s="32"/>
      <x:c r="D778" s="35"/>
      <x:c r="E778" s="32"/>
      <x:c r="F778" s="32"/>
      <x:c r="G778" s="32"/>
      <x:c r="H778" s="32"/>
      <x:c r="I778" s="32"/>
      <x:c r="J778" s="32"/>
      <x:c r="K778" s="32"/>
      <x:c r="L778" s="32"/>
      <x:c r="M778" s="32"/>
      <x:c r="N778" s="37"/>
      <x:c r="O778" s="32"/>
      <x:c r="P778" s="40"/>
      <x:c r="Q778" s="40"/>
      <x:c r="R778" s="41" t="str">
        <x:f>IF(OR(P778="",Q778=""),"",P778-Q778)</x:f>
      </x:c>
      <x:c r="S778" s="32"/>
      <x:c r="T778" s="32"/>
      <x:c r="U778" s="32"/>
      <x:c r="V778" s="32"/>
      <x:c r="W778" s="32"/>
      <x:c r="X778" s="32"/>
      <x:c r="Y778" s="43" t="str">
        <x:f>IF(OR(X778="",X778="Pending"),"",IF(X778="Rejected",0,IF(AND(U778="Ya",V778="Ya",W778="Ya"),1,"")))</x:f>
      </x:c>
      <x:c r="AA778" s="32"/>
      <x:c r="AB778" s="32"/>
      <x:c r="AC778" s="32"/>
      <x:c r="AD778" s="32"/>
      <x:c r="AE778" s="32"/>
      <x:c r="AF778" s="32"/>
      <x:c r="AG778" s="33" t="str">
        <x:f>IF(OR(AE778="",AF778=""),"",IF(AE778="Positif",IF(AF778="Positif","TP","FN"),IF(AF778="Positif","FP","TN")))</x:f>
      </x:c>
    </x:row>
    <x:row r="779">
      <x:c r="A779" s="32"/>
      <x:c r="B779" s="32"/>
      <x:c r="C779" s="32"/>
      <x:c r="D779" s="35"/>
      <x:c r="E779" s="32"/>
      <x:c r="F779" s="32"/>
      <x:c r="G779" s="32"/>
      <x:c r="H779" s="32"/>
      <x:c r="I779" s="32"/>
      <x:c r="J779" s="32"/>
      <x:c r="K779" s="32"/>
      <x:c r="L779" s="32"/>
      <x:c r="M779" s="32"/>
      <x:c r="N779" s="37"/>
      <x:c r="O779" s="32"/>
      <x:c r="P779" s="40"/>
      <x:c r="Q779" s="40"/>
      <x:c r="R779" s="41" t="str">
        <x:f>IF(OR(P779="",Q779=""),"",P779-Q779)</x:f>
      </x:c>
      <x:c r="S779" s="32"/>
      <x:c r="T779" s="32"/>
      <x:c r="U779" s="32"/>
      <x:c r="V779" s="32"/>
      <x:c r="W779" s="32"/>
      <x:c r="X779" s="32"/>
      <x:c r="Y779" s="43" t="str">
        <x:f>IF(OR(X779="",X779="Pending"),"",IF(X779="Rejected",0,IF(AND(U779="Ya",V779="Ya",W779="Ya"),1,"")))</x:f>
      </x:c>
      <x:c r="AA779" s="32"/>
      <x:c r="AB779" s="32"/>
      <x:c r="AC779" s="32"/>
      <x:c r="AD779" s="32"/>
      <x:c r="AE779" s="32"/>
      <x:c r="AF779" s="32"/>
      <x:c r="AG779" s="33" t="str">
        <x:f>IF(OR(AE779="",AF779=""),"",IF(AE779="Positif",IF(AF779="Positif","TP","FN"),IF(AF779="Positif","FP","TN")))</x:f>
      </x:c>
    </x:row>
    <x:row r="780">
      <x:c r="A780" s="32"/>
      <x:c r="B780" s="32"/>
      <x:c r="C780" s="32"/>
      <x:c r="D780" s="35"/>
      <x:c r="E780" s="32"/>
      <x:c r="F780" s="32"/>
      <x:c r="G780" s="32"/>
      <x:c r="H780" s="32"/>
      <x:c r="I780" s="32"/>
      <x:c r="J780" s="32"/>
      <x:c r="K780" s="32"/>
      <x:c r="L780" s="32"/>
      <x:c r="M780" s="32"/>
      <x:c r="N780" s="37"/>
      <x:c r="O780" s="32"/>
      <x:c r="P780" s="40"/>
      <x:c r="Q780" s="40"/>
      <x:c r="R780" s="41" t="str">
        <x:f>IF(OR(P780="",Q780=""),"",P780-Q780)</x:f>
      </x:c>
      <x:c r="S780" s="32"/>
      <x:c r="T780" s="32"/>
      <x:c r="U780" s="32"/>
      <x:c r="V780" s="32"/>
      <x:c r="W780" s="32"/>
      <x:c r="X780" s="32"/>
      <x:c r="Y780" s="43" t="str">
        <x:f>IF(OR(X780="",X780="Pending"),"",IF(X780="Rejected",0,IF(AND(U780="Ya",V780="Ya",W780="Ya"),1,"")))</x:f>
      </x:c>
      <x:c r="AA780" s="32"/>
      <x:c r="AB780" s="32"/>
      <x:c r="AC780" s="32"/>
      <x:c r="AD780" s="32"/>
      <x:c r="AE780" s="32"/>
      <x:c r="AF780" s="32"/>
      <x:c r="AG780" s="33" t="str">
        <x:f>IF(OR(AE780="",AF780=""),"",IF(AE780="Positif",IF(AF780="Positif","TP","FN"),IF(AF780="Positif","FP","TN")))</x:f>
      </x:c>
    </x:row>
    <x:row r="781">
      <x:c r="A781" s="32"/>
      <x:c r="B781" s="32"/>
      <x:c r="C781" s="32"/>
      <x:c r="D781" s="35"/>
      <x:c r="E781" s="32"/>
      <x:c r="F781" s="32"/>
      <x:c r="G781" s="32"/>
      <x:c r="H781" s="32"/>
      <x:c r="I781" s="32"/>
      <x:c r="J781" s="32"/>
      <x:c r="K781" s="32"/>
      <x:c r="L781" s="32"/>
      <x:c r="M781" s="32"/>
      <x:c r="N781" s="37"/>
      <x:c r="O781" s="32"/>
      <x:c r="P781" s="40"/>
      <x:c r="Q781" s="40"/>
      <x:c r="R781" s="41" t="str">
        <x:f>IF(OR(P781="",Q781=""),"",P781-Q781)</x:f>
      </x:c>
      <x:c r="S781" s="32"/>
      <x:c r="T781" s="32"/>
      <x:c r="U781" s="32"/>
      <x:c r="V781" s="32"/>
      <x:c r="W781" s="32"/>
      <x:c r="X781" s="32"/>
      <x:c r="Y781" s="43" t="str">
        <x:f>IF(OR(X781="",X781="Pending"),"",IF(X781="Rejected",0,IF(AND(U781="Ya",V781="Ya",W781="Ya"),1,"")))</x:f>
      </x:c>
      <x:c r="AA781" s="32"/>
      <x:c r="AB781" s="32"/>
      <x:c r="AC781" s="32"/>
      <x:c r="AD781" s="32"/>
      <x:c r="AE781" s="32"/>
      <x:c r="AF781" s="32"/>
      <x:c r="AG781" s="33" t="str">
        <x:f>IF(OR(AE781="",AF781=""),"",IF(AE781="Positif",IF(AF781="Positif","TP","FN"),IF(AF781="Positif","FP","TN")))</x:f>
      </x:c>
    </x:row>
    <x:row r="782">
      <x:c r="A782" s="32"/>
      <x:c r="B782" s="32"/>
      <x:c r="C782" s="32"/>
      <x:c r="D782" s="35"/>
      <x:c r="E782" s="32"/>
      <x:c r="F782" s="32"/>
      <x:c r="G782" s="32"/>
      <x:c r="H782" s="32"/>
      <x:c r="I782" s="32"/>
      <x:c r="J782" s="32"/>
      <x:c r="K782" s="32"/>
      <x:c r="L782" s="32"/>
      <x:c r="M782" s="32"/>
      <x:c r="N782" s="37"/>
      <x:c r="O782" s="32"/>
      <x:c r="P782" s="40"/>
      <x:c r="Q782" s="40"/>
      <x:c r="R782" s="41" t="str">
        <x:f>IF(OR(P782="",Q782=""),"",P782-Q782)</x:f>
      </x:c>
      <x:c r="S782" s="32"/>
      <x:c r="T782" s="32"/>
      <x:c r="U782" s="32"/>
      <x:c r="V782" s="32"/>
      <x:c r="W782" s="32"/>
      <x:c r="X782" s="32"/>
      <x:c r="Y782" s="43" t="str">
        <x:f>IF(OR(X782="",X782="Pending"),"",IF(X782="Rejected",0,IF(AND(U782="Ya",V782="Ya",W782="Ya"),1,"")))</x:f>
      </x:c>
      <x:c r="AA782" s="32"/>
      <x:c r="AB782" s="32"/>
      <x:c r="AC782" s="32"/>
      <x:c r="AD782" s="32"/>
      <x:c r="AE782" s="32"/>
      <x:c r="AF782" s="32"/>
      <x:c r="AG782" s="33" t="str">
        <x:f>IF(OR(AE782="",AF782=""),"",IF(AE782="Positif",IF(AF782="Positif","TP","FN"),IF(AF782="Positif","FP","TN")))</x:f>
      </x:c>
    </x:row>
    <x:row r="783">
      <x:c r="A783" s="32"/>
      <x:c r="B783" s="32"/>
      <x:c r="C783" s="32"/>
      <x:c r="D783" s="35"/>
      <x:c r="E783" s="32"/>
      <x:c r="F783" s="32"/>
      <x:c r="G783" s="32"/>
      <x:c r="H783" s="32"/>
      <x:c r="I783" s="32"/>
      <x:c r="J783" s="32"/>
      <x:c r="K783" s="32"/>
      <x:c r="L783" s="32"/>
      <x:c r="M783" s="32"/>
      <x:c r="N783" s="37"/>
      <x:c r="O783" s="32"/>
      <x:c r="P783" s="40"/>
      <x:c r="Q783" s="40"/>
      <x:c r="R783" s="41" t="str">
        <x:f>IF(OR(P783="",Q783=""),"",P783-Q783)</x:f>
      </x:c>
      <x:c r="S783" s="32"/>
      <x:c r="T783" s="32"/>
      <x:c r="U783" s="32"/>
      <x:c r="V783" s="32"/>
      <x:c r="W783" s="32"/>
      <x:c r="X783" s="32"/>
      <x:c r="Y783" s="43" t="str">
        <x:f>IF(OR(X783="",X783="Pending"),"",IF(X783="Rejected",0,IF(AND(U783="Ya",V783="Ya",W783="Ya"),1,"")))</x:f>
      </x:c>
      <x:c r="AA783" s="32"/>
      <x:c r="AB783" s="32"/>
      <x:c r="AC783" s="32"/>
      <x:c r="AD783" s="32"/>
      <x:c r="AE783" s="32"/>
      <x:c r="AF783" s="32"/>
      <x:c r="AG783" s="33" t="str">
        <x:f>IF(OR(AE783="",AF783=""),"",IF(AE783="Positif",IF(AF783="Positif","TP","FN"),IF(AF783="Positif","FP","TN")))</x:f>
      </x:c>
    </x:row>
    <x:row r="784">
      <x:c r="A784" s="32"/>
      <x:c r="B784" s="32"/>
      <x:c r="C784" s="32"/>
      <x:c r="D784" s="35"/>
      <x:c r="E784" s="32"/>
      <x:c r="F784" s="32"/>
      <x:c r="G784" s="32"/>
      <x:c r="H784" s="32"/>
      <x:c r="I784" s="32"/>
      <x:c r="J784" s="32"/>
      <x:c r="K784" s="32"/>
      <x:c r="L784" s="32"/>
      <x:c r="M784" s="32"/>
      <x:c r="N784" s="37"/>
      <x:c r="O784" s="32"/>
      <x:c r="P784" s="40"/>
      <x:c r="Q784" s="40"/>
      <x:c r="R784" s="41" t="str">
        <x:f>IF(OR(P784="",Q784=""),"",P784-Q784)</x:f>
      </x:c>
      <x:c r="S784" s="32"/>
      <x:c r="T784" s="32"/>
      <x:c r="U784" s="32"/>
      <x:c r="V784" s="32"/>
      <x:c r="W784" s="32"/>
      <x:c r="X784" s="32"/>
      <x:c r="Y784" s="43" t="str">
        <x:f>IF(OR(X784="",X784="Pending"),"",IF(X784="Rejected",0,IF(AND(U784="Ya",V784="Ya",W784="Ya"),1,"")))</x:f>
      </x:c>
      <x:c r="AA784" s="32"/>
      <x:c r="AB784" s="32"/>
      <x:c r="AC784" s="32"/>
      <x:c r="AD784" s="32"/>
      <x:c r="AE784" s="32"/>
      <x:c r="AF784" s="32"/>
      <x:c r="AG784" s="33" t="str">
        <x:f>IF(OR(AE784="",AF784=""),"",IF(AE784="Positif",IF(AF784="Positif","TP","FN"),IF(AF784="Positif","FP","TN")))</x:f>
      </x:c>
    </x:row>
    <x:row r="785">
      <x:c r="A785" s="32"/>
      <x:c r="B785" s="32"/>
      <x:c r="C785" s="32"/>
      <x:c r="D785" s="35"/>
      <x:c r="E785" s="32"/>
      <x:c r="F785" s="32"/>
      <x:c r="G785" s="32"/>
      <x:c r="H785" s="32"/>
      <x:c r="I785" s="32"/>
      <x:c r="J785" s="32"/>
      <x:c r="K785" s="32"/>
      <x:c r="L785" s="32"/>
      <x:c r="M785" s="32"/>
      <x:c r="N785" s="37"/>
      <x:c r="O785" s="32"/>
      <x:c r="P785" s="40"/>
      <x:c r="Q785" s="40"/>
      <x:c r="R785" s="41" t="str">
        <x:f>IF(OR(P785="",Q785=""),"",P785-Q785)</x:f>
      </x:c>
      <x:c r="S785" s="32"/>
      <x:c r="T785" s="32"/>
      <x:c r="U785" s="32"/>
      <x:c r="V785" s="32"/>
      <x:c r="W785" s="32"/>
      <x:c r="X785" s="32"/>
      <x:c r="Y785" s="43" t="str">
        <x:f>IF(OR(X785="",X785="Pending"),"",IF(X785="Rejected",0,IF(AND(U785="Ya",V785="Ya",W785="Ya"),1,"")))</x:f>
      </x:c>
      <x:c r="AA785" s="32"/>
      <x:c r="AB785" s="32"/>
      <x:c r="AC785" s="32"/>
      <x:c r="AD785" s="32"/>
      <x:c r="AE785" s="32"/>
      <x:c r="AF785" s="32"/>
      <x:c r="AG785" s="33" t="str">
        <x:f>IF(OR(AE785="",AF785=""),"",IF(AE785="Positif",IF(AF785="Positif","TP","FN"),IF(AF785="Positif","FP","TN")))</x:f>
      </x:c>
    </x:row>
    <x:row r="786">
      <x:c r="A786" s="32"/>
      <x:c r="B786" s="32"/>
      <x:c r="C786" s="32"/>
      <x:c r="D786" s="35"/>
      <x:c r="E786" s="32"/>
      <x:c r="F786" s="32"/>
      <x:c r="G786" s="32"/>
      <x:c r="H786" s="32"/>
      <x:c r="I786" s="32"/>
      <x:c r="J786" s="32"/>
      <x:c r="K786" s="32"/>
      <x:c r="L786" s="32"/>
      <x:c r="M786" s="32"/>
      <x:c r="N786" s="37"/>
      <x:c r="O786" s="32"/>
      <x:c r="P786" s="40"/>
      <x:c r="Q786" s="40"/>
      <x:c r="R786" s="41" t="str">
        <x:f>IF(OR(P786="",Q786=""),"",P786-Q786)</x:f>
      </x:c>
      <x:c r="S786" s="32"/>
      <x:c r="T786" s="32"/>
      <x:c r="U786" s="32"/>
      <x:c r="V786" s="32"/>
      <x:c r="W786" s="32"/>
      <x:c r="X786" s="32"/>
      <x:c r="Y786" s="43" t="str">
        <x:f>IF(OR(X786="",X786="Pending"),"",IF(X786="Rejected",0,IF(AND(U786="Ya",V786="Ya",W786="Ya"),1,"")))</x:f>
      </x:c>
      <x:c r="AA786" s="32"/>
      <x:c r="AB786" s="32"/>
      <x:c r="AC786" s="32"/>
      <x:c r="AD786" s="32"/>
      <x:c r="AE786" s="32"/>
      <x:c r="AF786" s="32"/>
      <x:c r="AG786" s="33" t="str">
        <x:f>IF(OR(AE786="",AF786=""),"",IF(AE786="Positif",IF(AF786="Positif","TP","FN"),IF(AF786="Positif","FP","TN")))</x:f>
      </x:c>
    </x:row>
    <x:row r="787">
      <x:c r="A787" s="32"/>
      <x:c r="B787" s="32"/>
      <x:c r="C787" s="32"/>
      <x:c r="D787" s="35"/>
      <x:c r="E787" s="32"/>
      <x:c r="F787" s="32"/>
      <x:c r="G787" s="32"/>
      <x:c r="H787" s="32"/>
      <x:c r="I787" s="32"/>
      <x:c r="J787" s="32"/>
      <x:c r="K787" s="32"/>
      <x:c r="L787" s="32"/>
      <x:c r="M787" s="32"/>
      <x:c r="N787" s="37"/>
      <x:c r="O787" s="32"/>
      <x:c r="P787" s="40"/>
      <x:c r="Q787" s="40"/>
      <x:c r="R787" s="41" t="str">
        <x:f>IF(OR(P787="",Q787=""),"",P787-Q787)</x:f>
      </x:c>
      <x:c r="S787" s="32"/>
      <x:c r="T787" s="32"/>
      <x:c r="U787" s="32"/>
      <x:c r="V787" s="32"/>
      <x:c r="W787" s="32"/>
      <x:c r="X787" s="32"/>
      <x:c r="Y787" s="43" t="str">
        <x:f>IF(OR(X787="",X787="Pending"),"",IF(X787="Rejected",0,IF(AND(U787="Ya",V787="Ya",W787="Ya"),1,"")))</x:f>
      </x:c>
      <x:c r="AA787" s="32"/>
      <x:c r="AB787" s="32"/>
      <x:c r="AC787" s="32"/>
      <x:c r="AD787" s="32"/>
      <x:c r="AE787" s="32"/>
      <x:c r="AF787" s="32"/>
      <x:c r="AG787" s="33" t="str">
        <x:f>IF(OR(AE787="",AF787=""),"",IF(AE787="Positif",IF(AF787="Positif","TP","FN"),IF(AF787="Positif","FP","TN")))</x:f>
      </x:c>
    </x:row>
    <x:row r="788">
      <x:c r="A788" s="32"/>
      <x:c r="B788" s="32"/>
      <x:c r="C788" s="32"/>
      <x:c r="D788" s="35"/>
      <x:c r="E788" s="32"/>
      <x:c r="F788" s="32"/>
      <x:c r="G788" s="32"/>
      <x:c r="H788" s="32"/>
      <x:c r="I788" s="32"/>
      <x:c r="J788" s="32"/>
      <x:c r="K788" s="32"/>
      <x:c r="L788" s="32"/>
      <x:c r="M788" s="32"/>
      <x:c r="N788" s="37"/>
      <x:c r="O788" s="32"/>
      <x:c r="P788" s="40"/>
      <x:c r="Q788" s="40"/>
      <x:c r="R788" s="41" t="str">
        <x:f>IF(OR(P788="",Q788=""),"",P788-Q788)</x:f>
      </x:c>
      <x:c r="S788" s="32"/>
      <x:c r="T788" s="32"/>
      <x:c r="U788" s="32"/>
      <x:c r="V788" s="32"/>
      <x:c r="W788" s="32"/>
      <x:c r="X788" s="32"/>
      <x:c r="Y788" s="43" t="str">
        <x:f>IF(OR(X788="",X788="Pending"),"",IF(X788="Rejected",0,IF(AND(U788="Ya",V788="Ya",W788="Ya"),1,"")))</x:f>
      </x:c>
      <x:c r="AA788" s="32"/>
      <x:c r="AB788" s="32"/>
      <x:c r="AC788" s="32"/>
      <x:c r="AD788" s="32"/>
      <x:c r="AE788" s="32"/>
      <x:c r="AF788" s="32"/>
      <x:c r="AG788" s="33" t="str">
        <x:f>IF(OR(AE788="",AF788=""),"",IF(AE788="Positif",IF(AF788="Positif","TP","FN"),IF(AF788="Positif","FP","TN")))</x:f>
      </x:c>
    </x:row>
    <x:row r="789">
      <x:c r="A789" s="32"/>
      <x:c r="B789" s="32"/>
      <x:c r="C789" s="32"/>
      <x:c r="D789" s="35"/>
      <x:c r="E789" s="32"/>
      <x:c r="F789" s="32"/>
      <x:c r="G789" s="32"/>
      <x:c r="H789" s="32"/>
      <x:c r="I789" s="32"/>
      <x:c r="J789" s="32"/>
      <x:c r="K789" s="32"/>
      <x:c r="L789" s="32"/>
      <x:c r="M789" s="32"/>
      <x:c r="N789" s="37"/>
      <x:c r="O789" s="32"/>
      <x:c r="P789" s="40"/>
      <x:c r="Q789" s="40"/>
      <x:c r="R789" s="41" t="str">
        <x:f>IF(OR(P789="",Q789=""),"",P789-Q789)</x:f>
      </x:c>
      <x:c r="S789" s="32"/>
      <x:c r="T789" s="32"/>
      <x:c r="U789" s="32"/>
      <x:c r="V789" s="32"/>
      <x:c r="W789" s="32"/>
      <x:c r="X789" s="32"/>
      <x:c r="Y789" s="43" t="str">
        <x:f>IF(OR(X789="",X789="Pending"),"",IF(X789="Rejected",0,IF(AND(U789="Ya",V789="Ya",W789="Ya"),1,"")))</x:f>
      </x:c>
      <x:c r="AA789" s="32"/>
      <x:c r="AB789" s="32"/>
      <x:c r="AC789" s="32"/>
      <x:c r="AD789" s="32"/>
      <x:c r="AE789" s="32"/>
      <x:c r="AF789" s="32"/>
      <x:c r="AG789" s="33" t="str">
        <x:f>IF(OR(AE789="",AF789=""),"",IF(AE789="Positif",IF(AF789="Positif","TP","FN"),IF(AF789="Positif","FP","TN")))</x:f>
      </x:c>
    </x:row>
    <x:row r="790">
      <x:c r="A790" s="32"/>
      <x:c r="B790" s="32"/>
      <x:c r="C790" s="32"/>
      <x:c r="D790" s="35"/>
      <x:c r="E790" s="32"/>
      <x:c r="F790" s="32"/>
      <x:c r="G790" s="32"/>
      <x:c r="H790" s="32"/>
      <x:c r="I790" s="32"/>
      <x:c r="J790" s="32"/>
      <x:c r="K790" s="32"/>
      <x:c r="L790" s="32"/>
      <x:c r="M790" s="32"/>
      <x:c r="N790" s="37"/>
      <x:c r="O790" s="32"/>
      <x:c r="P790" s="40"/>
      <x:c r="Q790" s="40"/>
      <x:c r="R790" s="41" t="str">
        <x:f>IF(OR(P790="",Q790=""),"",P790-Q790)</x:f>
      </x:c>
      <x:c r="S790" s="32"/>
      <x:c r="T790" s="32"/>
      <x:c r="U790" s="32"/>
      <x:c r="V790" s="32"/>
      <x:c r="W790" s="32"/>
      <x:c r="X790" s="32"/>
      <x:c r="Y790" s="43" t="str">
        <x:f>IF(OR(X790="",X790="Pending"),"",IF(X790="Rejected",0,IF(AND(U790="Ya",V790="Ya",W790="Ya"),1,"")))</x:f>
      </x:c>
      <x:c r="AA790" s="32"/>
      <x:c r="AB790" s="32"/>
      <x:c r="AC790" s="32"/>
      <x:c r="AD790" s="32"/>
      <x:c r="AE790" s="32"/>
      <x:c r="AF790" s="32"/>
      <x:c r="AG790" s="33" t="str">
        <x:f>IF(OR(AE790="",AF790=""),"",IF(AE790="Positif",IF(AF790="Positif","TP","FN"),IF(AF790="Positif","FP","TN")))</x:f>
      </x:c>
    </x:row>
    <x:row r="791">
      <x:c r="A791" s="32"/>
      <x:c r="B791" s="32"/>
      <x:c r="C791" s="32"/>
      <x:c r="D791" s="35"/>
      <x:c r="E791" s="32"/>
      <x:c r="F791" s="32"/>
      <x:c r="G791" s="32"/>
      <x:c r="H791" s="32"/>
      <x:c r="I791" s="32"/>
      <x:c r="J791" s="32"/>
      <x:c r="K791" s="32"/>
      <x:c r="L791" s="32"/>
      <x:c r="M791" s="32"/>
      <x:c r="N791" s="37"/>
      <x:c r="O791" s="32"/>
      <x:c r="P791" s="40"/>
      <x:c r="Q791" s="40"/>
      <x:c r="R791" s="41" t="str">
        <x:f>IF(OR(P791="",Q791=""),"",P791-Q791)</x:f>
      </x:c>
      <x:c r="S791" s="32"/>
      <x:c r="T791" s="32"/>
      <x:c r="U791" s="32"/>
      <x:c r="V791" s="32"/>
      <x:c r="W791" s="32"/>
      <x:c r="X791" s="32"/>
      <x:c r="Y791" s="43" t="str">
        <x:f>IF(OR(X791="",X791="Pending"),"",IF(X791="Rejected",0,IF(AND(U791="Ya",V791="Ya",W791="Ya"),1,"")))</x:f>
      </x:c>
      <x:c r="AA791" s="32"/>
      <x:c r="AB791" s="32"/>
      <x:c r="AC791" s="32"/>
      <x:c r="AD791" s="32"/>
      <x:c r="AE791" s="32"/>
      <x:c r="AF791" s="32"/>
      <x:c r="AG791" s="33" t="str">
        <x:f>IF(OR(AE791="",AF791=""),"",IF(AE791="Positif",IF(AF791="Positif","TP","FN"),IF(AF791="Positif","FP","TN")))</x:f>
      </x:c>
    </x:row>
    <x:row r="792">
      <x:c r="A792" s="32"/>
      <x:c r="B792" s="32"/>
      <x:c r="C792" s="32"/>
      <x:c r="D792" s="35"/>
      <x:c r="E792" s="32"/>
      <x:c r="F792" s="32"/>
      <x:c r="G792" s="32"/>
      <x:c r="H792" s="32"/>
      <x:c r="I792" s="32"/>
      <x:c r="J792" s="32"/>
      <x:c r="K792" s="32"/>
      <x:c r="L792" s="32"/>
      <x:c r="M792" s="32"/>
      <x:c r="N792" s="37"/>
      <x:c r="O792" s="32"/>
      <x:c r="P792" s="40"/>
      <x:c r="Q792" s="40"/>
      <x:c r="R792" s="41" t="str">
        <x:f>IF(OR(P792="",Q792=""),"",P792-Q792)</x:f>
      </x:c>
      <x:c r="S792" s="32"/>
      <x:c r="T792" s="32"/>
      <x:c r="U792" s="32"/>
      <x:c r="V792" s="32"/>
      <x:c r="W792" s="32"/>
      <x:c r="X792" s="32"/>
      <x:c r="Y792" s="43" t="str">
        <x:f>IF(OR(X792="",X792="Pending"),"",IF(X792="Rejected",0,IF(AND(U792="Ya",V792="Ya",W792="Ya"),1,"")))</x:f>
      </x:c>
      <x:c r="AA792" s="32"/>
      <x:c r="AB792" s="32"/>
      <x:c r="AC792" s="32"/>
      <x:c r="AD792" s="32"/>
      <x:c r="AE792" s="32"/>
      <x:c r="AF792" s="32"/>
      <x:c r="AG792" s="33" t="str">
        <x:f>IF(OR(AE792="",AF792=""),"",IF(AE792="Positif",IF(AF792="Positif","TP","FN"),IF(AF792="Positif","FP","TN")))</x:f>
      </x:c>
    </x:row>
    <x:row r="793">
      <x:c r="A793" s="32"/>
      <x:c r="B793" s="32"/>
      <x:c r="C793" s="32"/>
      <x:c r="D793" s="35"/>
      <x:c r="E793" s="32"/>
      <x:c r="F793" s="32"/>
      <x:c r="G793" s="32"/>
      <x:c r="H793" s="32"/>
      <x:c r="I793" s="32"/>
      <x:c r="J793" s="32"/>
      <x:c r="K793" s="32"/>
      <x:c r="L793" s="32"/>
      <x:c r="M793" s="32"/>
      <x:c r="N793" s="37"/>
      <x:c r="O793" s="32"/>
      <x:c r="P793" s="40"/>
      <x:c r="Q793" s="40"/>
      <x:c r="R793" s="41" t="str">
        <x:f>IF(OR(P793="",Q793=""),"",P793-Q793)</x:f>
      </x:c>
      <x:c r="S793" s="32"/>
      <x:c r="T793" s="32"/>
      <x:c r="U793" s="32"/>
      <x:c r="V793" s="32"/>
      <x:c r="W793" s="32"/>
      <x:c r="X793" s="32"/>
      <x:c r="Y793" s="43" t="str">
        <x:f>IF(OR(X793="",X793="Pending"),"",IF(X793="Rejected",0,IF(AND(U793="Ya",V793="Ya",W793="Ya"),1,"")))</x:f>
      </x:c>
      <x:c r="AA793" s="32"/>
      <x:c r="AB793" s="32"/>
      <x:c r="AC793" s="32"/>
      <x:c r="AD793" s="32"/>
      <x:c r="AE793" s="32"/>
      <x:c r="AF793" s="32"/>
      <x:c r="AG793" s="33" t="str">
        <x:f>IF(OR(AE793="",AF793=""),"",IF(AE793="Positif",IF(AF793="Positif","TP","FN"),IF(AF793="Positif","FP","TN")))</x:f>
      </x:c>
    </x:row>
    <x:row r="794">
      <x:c r="A794" s="32"/>
      <x:c r="B794" s="32"/>
      <x:c r="C794" s="32"/>
      <x:c r="D794" s="35"/>
      <x:c r="E794" s="32"/>
      <x:c r="F794" s="32"/>
      <x:c r="G794" s="32"/>
      <x:c r="H794" s="32"/>
      <x:c r="I794" s="32"/>
      <x:c r="J794" s="32"/>
      <x:c r="K794" s="32"/>
      <x:c r="L794" s="32"/>
      <x:c r="M794" s="32"/>
      <x:c r="N794" s="37"/>
      <x:c r="O794" s="32"/>
      <x:c r="P794" s="40"/>
      <x:c r="Q794" s="40"/>
      <x:c r="R794" s="41" t="str">
        <x:f>IF(OR(P794="",Q794=""),"",P794-Q794)</x:f>
      </x:c>
      <x:c r="S794" s="32"/>
      <x:c r="T794" s="32"/>
      <x:c r="U794" s="32"/>
      <x:c r="V794" s="32"/>
      <x:c r="W794" s="32"/>
      <x:c r="X794" s="32"/>
      <x:c r="Y794" s="43" t="str">
        <x:f>IF(OR(X794="",X794="Pending"),"",IF(X794="Rejected",0,IF(AND(U794="Ya",V794="Ya",W794="Ya"),1,"")))</x:f>
      </x:c>
      <x:c r="AA794" s="32"/>
      <x:c r="AB794" s="32"/>
      <x:c r="AC794" s="32"/>
      <x:c r="AD794" s="32"/>
      <x:c r="AE794" s="32"/>
      <x:c r="AF794" s="32"/>
      <x:c r="AG794" s="33" t="str">
        <x:f>IF(OR(AE794="",AF794=""),"",IF(AE794="Positif",IF(AF794="Positif","TP","FN"),IF(AF794="Positif","FP","TN")))</x:f>
      </x:c>
    </x:row>
    <x:row r="795">
      <x:c r="A795" s="32"/>
      <x:c r="B795" s="32"/>
      <x:c r="C795" s="32"/>
      <x:c r="D795" s="35"/>
      <x:c r="E795" s="32"/>
      <x:c r="F795" s="32"/>
      <x:c r="G795" s="32"/>
      <x:c r="H795" s="32"/>
      <x:c r="I795" s="32"/>
      <x:c r="J795" s="32"/>
      <x:c r="K795" s="32"/>
      <x:c r="L795" s="32"/>
      <x:c r="M795" s="32"/>
      <x:c r="N795" s="37"/>
      <x:c r="O795" s="32"/>
      <x:c r="P795" s="40"/>
      <x:c r="Q795" s="40"/>
      <x:c r="R795" s="41" t="str">
        <x:f>IF(OR(P795="",Q795=""),"",P795-Q795)</x:f>
      </x:c>
      <x:c r="S795" s="32"/>
      <x:c r="T795" s="32"/>
      <x:c r="U795" s="32"/>
      <x:c r="V795" s="32"/>
      <x:c r="W795" s="32"/>
      <x:c r="X795" s="32"/>
      <x:c r="Y795" s="43" t="str">
        <x:f>IF(OR(X795="",X795="Pending"),"",IF(X795="Rejected",0,IF(AND(U795="Ya",V795="Ya",W795="Ya"),1,"")))</x:f>
      </x:c>
      <x:c r="AA795" s="32"/>
      <x:c r="AB795" s="32"/>
      <x:c r="AC795" s="32"/>
      <x:c r="AD795" s="32"/>
      <x:c r="AE795" s="32"/>
      <x:c r="AF795" s="32"/>
      <x:c r="AG795" s="33" t="str">
        <x:f>IF(OR(AE795="",AF795=""),"",IF(AE795="Positif",IF(AF795="Positif","TP","FN"),IF(AF795="Positif","FP","TN")))</x:f>
      </x:c>
    </x:row>
    <x:row r="796">
      <x:c r="A796" s="32"/>
      <x:c r="B796" s="32"/>
      <x:c r="C796" s="32"/>
      <x:c r="D796" s="35"/>
      <x:c r="E796" s="32"/>
      <x:c r="F796" s="32"/>
      <x:c r="G796" s="32"/>
      <x:c r="H796" s="32"/>
      <x:c r="I796" s="32"/>
      <x:c r="J796" s="32"/>
      <x:c r="K796" s="32"/>
      <x:c r="L796" s="32"/>
      <x:c r="M796" s="32"/>
      <x:c r="N796" s="37"/>
      <x:c r="O796" s="32"/>
      <x:c r="P796" s="40"/>
      <x:c r="Q796" s="40"/>
      <x:c r="R796" s="41" t="str">
        <x:f>IF(OR(P796="",Q796=""),"",P796-Q796)</x:f>
      </x:c>
      <x:c r="S796" s="32"/>
      <x:c r="T796" s="32"/>
      <x:c r="U796" s="32"/>
      <x:c r="V796" s="32"/>
      <x:c r="W796" s="32"/>
      <x:c r="X796" s="32"/>
      <x:c r="Y796" s="43" t="str">
        <x:f>IF(OR(X796="",X796="Pending"),"",IF(X796="Rejected",0,IF(AND(U796="Ya",V796="Ya",W796="Ya"),1,"")))</x:f>
      </x:c>
      <x:c r="AA796" s="32"/>
      <x:c r="AB796" s="32"/>
      <x:c r="AC796" s="32"/>
      <x:c r="AD796" s="32"/>
      <x:c r="AE796" s="32"/>
      <x:c r="AF796" s="32"/>
      <x:c r="AG796" s="33" t="str">
        <x:f>IF(OR(AE796="",AF796=""),"",IF(AE796="Positif",IF(AF796="Positif","TP","FN"),IF(AF796="Positif","FP","TN")))</x:f>
      </x:c>
    </x:row>
    <x:row r="797">
      <x:c r="A797" s="32"/>
      <x:c r="B797" s="32"/>
      <x:c r="C797" s="32"/>
      <x:c r="D797" s="35"/>
      <x:c r="E797" s="32"/>
      <x:c r="F797" s="32"/>
      <x:c r="G797" s="32"/>
      <x:c r="H797" s="32"/>
      <x:c r="I797" s="32"/>
      <x:c r="J797" s="32"/>
      <x:c r="K797" s="32"/>
      <x:c r="L797" s="32"/>
      <x:c r="M797" s="32"/>
      <x:c r="N797" s="37"/>
      <x:c r="O797" s="32"/>
      <x:c r="P797" s="40"/>
      <x:c r="Q797" s="40"/>
      <x:c r="R797" s="41" t="str">
        <x:f>IF(OR(P797="",Q797=""),"",P797-Q797)</x:f>
      </x:c>
      <x:c r="S797" s="32"/>
      <x:c r="T797" s="32"/>
      <x:c r="U797" s="32"/>
      <x:c r="V797" s="32"/>
      <x:c r="W797" s="32"/>
      <x:c r="X797" s="32"/>
      <x:c r="Y797" s="43" t="str">
        <x:f>IF(OR(X797="",X797="Pending"),"",IF(X797="Rejected",0,IF(AND(U797="Ya",V797="Ya",W797="Ya"),1,"")))</x:f>
      </x:c>
      <x:c r="AA797" s="32"/>
      <x:c r="AB797" s="32"/>
      <x:c r="AC797" s="32"/>
      <x:c r="AD797" s="32"/>
      <x:c r="AE797" s="32"/>
      <x:c r="AF797" s="32"/>
      <x:c r="AG797" s="33" t="str">
        <x:f>IF(OR(AE797="",AF797=""),"",IF(AE797="Positif",IF(AF797="Positif","TP","FN"),IF(AF797="Positif","FP","TN")))</x:f>
      </x:c>
    </x:row>
    <x:row r="798">
      <x:c r="A798" s="32"/>
      <x:c r="B798" s="32"/>
      <x:c r="C798" s="32"/>
      <x:c r="D798" s="35"/>
      <x:c r="E798" s="32"/>
      <x:c r="F798" s="32"/>
      <x:c r="G798" s="32"/>
      <x:c r="H798" s="32"/>
      <x:c r="I798" s="32"/>
      <x:c r="J798" s="32"/>
      <x:c r="K798" s="32"/>
      <x:c r="L798" s="32"/>
      <x:c r="M798" s="32"/>
      <x:c r="N798" s="37"/>
      <x:c r="O798" s="32"/>
      <x:c r="P798" s="40"/>
      <x:c r="Q798" s="40"/>
      <x:c r="R798" s="41" t="str">
        <x:f>IF(OR(P798="",Q798=""),"",P798-Q798)</x:f>
      </x:c>
      <x:c r="S798" s="32"/>
      <x:c r="T798" s="32"/>
      <x:c r="U798" s="32"/>
      <x:c r="V798" s="32"/>
      <x:c r="W798" s="32"/>
      <x:c r="X798" s="32"/>
      <x:c r="Y798" s="43" t="str">
        <x:f>IF(OR(X798="",X798="Pending"),"",IF(X798="Rejected",0,IF(AND(U798="Ya",V798="Ya",W798="Ya"),1,"")))</x:f>
      </x:c>
      <x:c r="AA798" s="32"/>
      <x:c r="AB798" s="32"/>
      <x:c r="AC798" s="32"/>
      <x:c r="AD798" s="32"/>
      <x:c r="AE798" s="32"/>
      <x:c r="AF798" s="32"/>
      <x:c r="AG798" s="33" t="str">
        <x:f>IF(OR(AE798="",AF798=""),"",IF(AE798="Positif",IF(AF798="Positif","TP","FN"),IF(AF798="Positif","FP","TN")))</x:f>
      </x:c>
    </x:row>
    <x:row r="799">
      <x:c r="A799" s="32"/>
      <x:c r="B799" s="32"/>
      <x:c r="C799" s="32"/>
      <x:c r="D799" s="35"/>
      <x:c r="E799" s="32"/>
      <x:c r="F799" s="32"/>
      <x:c r="G799" s="32"/>
      <x:c r="H799" s="32"/>
      <x:c r="I799" s="32"/>
      <x:c r="J799" s="32"/>
      <x:c r="K799" s="32"/>
      <x:c r="L799" s="32"/>
      <x:c r="M799" s="32"/>
      <x:c r="N799" s="37"/>
      <x:c r="O799" s="32"/>
      <x:c r="P799" s="40"/>
      <x:c r="Q799" s="40"/>
      <x:c r="R799" s="41" t="str">
        <x:f>IF(OR(P799="",Q799=""),"",P799-Q799)</x:f>
      </x:c>
      <x:c r="S799" s="32"/>
      <x:c r="T799" s="32"/>
      <x:c r="U799" s="32"/>
      <x:c r="V799" s="32"/>
      <x:c r="W799" s="32"/>
      <x:c r="X799" s="32"/>
      <x:c r="Y799" s="43" t="str">
        <x:f>IF(OR(X799="",X799="Pending"),"",IF(X799="Rejected",0,IF(AND(U799="Ya",V799="Ya",W799="Ya"),1,"")))</x:f>
      </x:c>
      <x:c r="AA799" s="32"/>
      <x:c r="AB799" s="32"/>
      <x:c r="AC799" s="32"/>
      <x:c r="AD799" s="32"/>
      <x:c r="AE799" s="32"/>
      <x:c r="AF799" s="32"/>
      <x:c r="AG799" s="33" t="str">
        <x:f>IF(OR(AE799="",AF799=""),"",IF(AE799="Positif",IF(AF799="Positif","TP","FN"),IF(AF799="Positif","FP","TN")))</x:f>
      </x:c>
    </x:row>
    <x:row r="800">
      <x:c r="A800" s="32"/>
      <x:c r="B800" s="32"/>
      <x:c r="C800" s="32"/>
      <x:c r="D800" s="35"/>
      <x:c r="E800" s="32"/>
      <x:c r="F800" s="32"/>
      <x:c r="G800" s="32"/>
      <x:c r="H800" s="32"/>
      <x:c r="I800" s="32"/>
      <x:c r="J800" s="32"/>
      <x:c r="K800" s="32"/>
      <x:c r="L800" s="32"/>
      <x:c r="M800" s="32"/>
      <x:c r="N800" s="37"/>
      <x:c r="O800" s="32"/>
      <x:c r="P800" s="40"/>
      <x:c r="Q800" s="40"/>
      <x:c r="R800" s="41" t="str">
        <x:f>IF(OR(P800="",Q800=""),"",P800-Q800)</x:f>
      </x:c>
      <x:c r="S800" s="32"/>
      <x:c r="T800" s="32"/>
      <x:c r="U800" s="32"/>
      <x:c r="V800" s="32"/>
      <x:c r="W800" s="32"/>
      <x:c r="X800" s="32"/>
      <x:c r="Y800" s="43" t="str">
        <x:f>IF(OR(X800="",X800="Pending"),"",IF(X800="Rejected",0,IF(AND(U800="Ya",V800="Ya",W800="Ya"),1,"")))</x:f>
      </x:c>
      <x:c r="AA800" s="32"/>
      <x:c r="AB800" s="32"/>
      <x:c r="AC800" s="32"/>
      <x:c r="AD800" s="32"/>
      <x:c r="AE800" s="32"/>
      <x:c r="AF800" s="32"/>
      <x:c r="AG800" s="33" t="str">
        <x:f>IF(OR(AE800="",AF800=""),"",IF(AE800="Positif",IF(AF800="Positif","TP","FN"),IF(AF800="Positif","FP","TN")))</x:f>
      </x:c>
    </x:row>
    <x:row r="801">
      <x:c r="A801" s="32"/>
      <x:c r="B801" s="32"/>
      <x:c r="C801" s="32"/>
      <x:c r="D801" s="35"/>
      <x:c r="E801" s="32"/>
      <x:c r="F801" s="32"/>
      <x:c r="G801" s="32"/>
      <x:c r="H801" s="32"/>
      <x:c r="I801" s="32"/>
      <x:c r="J801" s="32"/>
      <x:c r="K801" s="32"/>
      <x:c r="L801" s="32"/>
      <x:c r="M801" s="32"/>
      <x:c r="N801" s="37"/>
      <x:c r="O801" s="32"/>
      <x:c r="P801" s="40"/>
      <x:c r="Q801" s="40"/>
      <x:c r="R801" s="41" t="str">
        <x:f>IF(OR(P801="",Q801=""),"",P801-Q801)</x:f>
      </x:c>
      <x:c r="S801" s="32"/>
      <x:c r="T801" s="32"/>
      <x:c r="U801" s="32"/>
      <x:c r="V801" s="32"/>
      <x:c r="W801" s="32"/>
      <x:c r="X801" s="32"/>
      <x:c r="Y801" s="43" t="str">
        <x:f>IF(OR(X801="",X801="Pending"),"",IF(X801="Rejected",0,IF(AND(U801="Ya",V801="Ya",W801="Ya"),1,"")))</x:f>
      </x:c>
      <x:c r="AA801" s="32"/>
      <x:c r="AB801" s="32"/>
      <x:c r="AC801" s="32"/>
      <x:c r="AD801" s="32"/>
      <x:c r="AE801" s="32"/>
      <x:c r="AF801" s="32"/>
      <x:c r="AG801" s="33" t="str">
        <x:f>IF(OR(AE801="",AF801=""),"",IF(AE801="Positif",IF(AF801="Positif","TP","FN"),IF(AF801="Positif","FP","TN")))</x:f>
      </x:c>
    </x:row>
    <x:row r="802">
      <x:c r="A802" s="32"/>
      <x:c r="B802" s="32"/>
      <x:c r="C802" s="32"/>
      <x:c r="D802" s="35"/>
      <x:c r="E802" s="32"/>
      <x:c r="F802" s="32"/>
      <x:c r="G802" s="32"/>
      <x:c r="H802" s="32"/>
      <x:c r="I802" s="32"/>
      <x:c r="J802" s="32"/>
      <x:c r="K802" s="32"/>
      <x:c r="L802" s="32"/>
      <x:c r="M802" s="32"/>
      <x:c r="N802" s="37"/>
      <x:c r="O802" s="32"/>
      <x:c r="P802" s="40"/>
      <x:c r="Q802" s="40"/>
      <x:c r="R802" s="41" t="str">
        <x:f>IF(OR(P802="",Q802=""),"",P802-Q802)</x:f>
      </x:c>
      <x:c r="S802" s="32"/>
      <x:c r="T802" s="32"/>
      <x:c r="U802" s="32"/>
      <x:c r="V802" s="32"/>
      <x:c r="W802" s="32"/>
      <x:c r="X802" s="32"/>
      <x:c r="Y802" s="43" t="str">
        <x:f>IF(OR(X802="",X802="Pending"),"",IF(X802="Rejected",0,IF(AND(U802="Ya",V802="Ya",W802="Ya"),1,"")))</x:f>
      </x:c>
      <x:c r="AA802" s="32"/>
      <x:c r="AB802" s="32"/>
      <x:c r="AC802" s="32"/>
      <x:c r="AD802" s="32"/>
      <x:c r="AE802" s="32"/>
      <x:c r="AF802" s="32"/>
      <x:c r="AG802" s="33" t="str">
        <x:f>IF(OR(AE802="",AF802=""),"",IF(AE802="Positif",IF(AF802="Positif","TP","FN"),IF(AF802="Positif","FP","TN")))</x:f>
      </x:c>
    </x:row>
    <x:row r="803">
      <x:c r="A803" s="32"/>
      <x:c r="B803" s="32"/>
      <x:c r="C803" s="32"/>
      <x:c r="D803" s="35"/>
      <x:c r="E803" s="32"/>
      <x:c r="F803" s="32"/>
      <x:c r="G803" s="32"/>
      <x:c r="H803" s="32"/>
      <x:c r="I803" s="32"/>
      <x:c r="J803" s="32"/>
      <x:c r="K803" s="32"/>
      <x:c r="L803" s="32"/>
      <x:c r="M803" s="32"/>
      <x:c r="N803" s="37"/>
      <x:c r="O803" s="32"/>
      <x:c r="P803" s="40"/>
      <x:c r="Q803" s="40"/>
      <x:c r="R803" s="41" t="str">
        <x:f>IF(OR(P803="",Q803=""),"",P803-Q803)</x:f>
      </x:c>
      <x:c r="S803" s="32"/>
      <x:c r="T803" s="32"/>
      <x:c r="U803" s="32"/>
      <x:c r="V803" s="32"/>
      <x:c r="W803" s="32"/>
      <x:c r="X803" s="32"/>
      <x:c r="Y803" s="43" t="str">
        <x:f>IF(OR(X803="",X803="Pending"),"",IF(X803="Rejected",0,IF(AND(U803="Ya",V803="Ya",W803="Ya"),1,"")))</x:f>
      </x:c>
      <x:c r="AA803" s="32"/>
      <x:c r="AB803" s="32"/>
      <x:c r="AC803" s="32"/>
      <x:c r="AD803" s="32"/>
      <x:c r="AE803" s="32"/>
      <x:c r="AF803" s="32"/>
      <x:c r="AG803" s="33" t="str">
        <x:f>IF(OR(AE803="",AF803=""),"",IF(AE803="Positif",IF(AF803="Positif","TP","FN"),IF(AF803="Positif","FP","TN")))</x:f>
      </x:c>
    </x:row>
    <x:row r="804">
      <x:c r="A804" s="32"/>
      <x:c r="B804" s="32"/>
      <x:c r="C804" s="32"/>
      <x:c r="D804" s="35"/>
      <x:c r="E804" s="32"/>
      <x:c r="F804" s="32"/>
      <x:c r="G804" s="32"/>
      <x:c r="H804" s="32"/>
      <x:c r="I804" s="32"/>
      <x:c r="J804" s="32"/>
      <x:c r="K804" s="32"/>
      <x:c r="L804" s="32"/>
      <x:c r="M804" s="32"/>
      <x:c r="N804" s="37"/>
      <x:c r="O804" s="32"/>
      <x:c r="P804" s="40"/>
      <x:c r="Q804" s="40"/>
      <x:c r="R804" s="41" t="str">
        <x:f>IF(OR(P804="",Q804=""),"",P804-Q804)</x:f>
      </x:c>
      <x:c r="S804" s="32"/>
      <x:c r="T804" s="32"/>
      <x:c r="U804" s="32"/>
      <x:c r="V804" s="32"/>
      <x:c r="W804" s="32"/>
      <x:c r="X804" s="32"/>
      <x:c r="Y804" s="43" t="str">
        <x:f>IF(OR(X804="",X804="Pending"),"",IF(X804="Rejected",0,IF(AND(U804="Ya",V804="Ya",W804="Ya"),1,"")))</x:f>
      </x:c>
      <x:c r="AA804" s="32"/>
      <x:c r="AB804" s="32"/>
      <x:c r="AC804" s="32"/>
      <x:c r="AD804" s="32"/>
      <x:c r="AE804" s="32"/>
      <x:c r="AF804" s="32"/>
      <x:c r="AG804" s="33" t="str">
        <x:f>IF(OR(AE804="",AF804=""),"",IF(AE804="Positif",IF(AF804="Positif","TP","FN"),IF(AF804="Positif","FP","TN")))</x:f>
      </x:c>
    </x:row>
    <x:row r="805">
      <x:c r="A805" s="32"/>
      <x:c r="B805" s="32"/>
      <x:c r="C805" s="32"/>
      <x:c r="D805" s="35"/>
      <x:c r="E805" s="32"/>
      <x:c r="F805" s="32"/>
      <x:c r="G805" s="32"/>
      <x:c r="H805" s="32"/>
      <x:c r="I805" s="32"/>
      <x:c r="J805" s="32"/>
      <x:c r="K805" s="32"/>
      <x:c r="L805" s="32"/>
      <x:c r="M805" s="32"/>
      <x:c r="N805" s="37"/>
      <x:c r="O805" s="32"/>
      <x:c r="P805" s="40"/>
      <x:c r="Q805" s="40"/>
      <x:c r="R805" s="41" t="str">
        <x:f>IF(OR(P805="",Q805=""),"",P805-Q805)</x:f>
      </x:c>
      <x:c r="S805" s="32"/>
      <x:c r="T805" s="32"/>
      <x:c r="U805" s="32"/>
      <x:c r="V805" s="32"/>
      <x:c r="W805" s="32"/>
      <x:c r="X805" s="32"/>
      <x:c r="Y805" s="43" t="str">
        <x:f>IF(OR(X805="",X805="Pending"),"",IF(X805="Rejected",0,IF(AND(U805="Ya",V805="Ya",W805="Ya"),1,"")))</x:f>
      </x:c>
      <x:c r="AA805" s="32"/>
      <x:c r="AB805" s="32"/>
      <x:c r="AC805" s="32"/>
      <x:c r="AD805" s="32"/>
      <x:c r="AE805" s="32"/>
      <x:c r="AF805" s="32"/>
      <x:c r="AG805" s="33" t="str">
        <x:f>IF(OR(AE805="",AF805=""),"",IF(AE805="Positif",IF(AF805="Positif","TP","FN"),IF(AF805="Positif","FP","TN")))</x:f>
      </x:c>
    </x:row>
    <x:row r="806">
      <x:c r="A806" s="32"/>
      <x:c r="B806" s="32"/>
      <x:c r="C806" s="32"/>
      <x:c r="D806" s="35"/>
      <x:c r="E806" s="32"/>
      <x:c r="F806" s="32"/>
      <x:c r="G806" s="32"/>
      <x:c r="H806" s="32"/>
      <x:c r="I806" s="32"/>
      <x:c r="J806" s="32"/>
      <x:c r="K806" s="32"/>
      <x:c r="L806" s="32"/>
      <x:c r="M806" s="32"/>
      <x:c r="N806" s="37"/>
      <x:c r="O806" s="32"/>
      <x:c r="P806" s="40"/>
      <x:c r="Q806" s="40"/>
      <x:c r="R806" s="41" t="str">
        <x:f>IF(OR(P806="",Q806=""),"",P806-Q806)</x:f>
      </x:c>
      <x:c r="S806" s="32"/>
      <x:c r="T806" s="32"/>
      <x:c r="U806" s="32"/>
      <x:c r="V806" s="32"/>
      <x:c r="W806" s="32"/>
      <x:c r="X806" s="32"/>
      <x:c r="Y806" s="43" t="str">
        <x:f>IF(OR(X806="",X806="Pending"),"",IF(X806="Rejected",0,IF(AND(U806="Ya",V806="Ya",W806="Ya"),1,"")))</x:f>
      </x:c>
      <x:c r="AA806" s="32"/>
      <x:c r="AB806" s="32"/>
      <x:c r="AC806" s="32"/>
      <x:c r="AD806" s="32"/>
      <x:c r="AE806" s="32"/>
      <x:c r="AF806" s="32"/>
      <x:c r="AG806" s="33" t="str">
        <x:f>IF(OR(AE806="",AF806=""),"",IF(AE806="Positif",IF(AF806="Positif","TP","FN"),IF(AF806="Positif","FP","TN")))</x:f>
      </x:c>
    </x:row>
    <x:row r="807">
      <x:c r="A807" s="32"/>
      <x:c r="B807" s="32"/>
      <x:c r="C807" s="32"/>
      <x:c r="D807" s="35"/>
      <x:c r="E807" s="32"/>
      <x:c r="F807" s="32"/>
      <x:c r="G807" s="32"/>
      <x:c r="H807" s="32"/>
      <x:c r="I807" s="32"/>
      <x:c r="J807" s="32"/>
      <x:c r="K807" s="32"/>
      <x:c r="L807" s="32"/>
      <x:c r="M807" s="32"/>
      <x:c r="N807" s="37"/>
      <x:c r="O807" s="32"/>
      <x:c r="P807" s="40"/>
      <x:c r="Q807" s="40"/>
      <x:c r="R807" s="41" t="str">
        <x:f>IF(OR(P807="",Q807=""),"",P807-Q807)</x:f>
      </x:c>
      <x:c r="S807" s="32"/>
      <x:c r="T807" s="32"/>
      <x:c r="U807" s="32"/>
      <x:c r="V807" s="32"/>
      <x:c r="W807" s="32"/>
      <x:c r="X807" s="32"/>
      <x:c r="Y807" s="43" t="str">
        <x:f>IF(OR(X807="",X807="Pending"),"",IF(X807="Rejected",0,IF(AND(U807="Ya",V807="Ya",W807="Ya"),1,"")))</x:f>
      </x:c>
      <x:c r="AA807" s="32"/>
      <x:c r="AB807" s="32"/>
      <x:c r="AC807" s="32"/>
      <x:c r="AD807" s="32"/>
      <x:c r="AE807" s="32"/>
      <x:c r="AF807" s="32"/>
      <x:c r="AG807" s="33" t="str">
        <x:f>IF(OR(AE807="",AF807=""),"",IF(AE807="Positif",IF(AF807="Positif","TP","FN"),IF(AF807="Positif","FP","TN")))</x:f>
      </x:c>
    </x:row>
    <x:row r="808">
      <x:c r="A808" s="32"/>
      <x:c r="B808" s="32"/>
      <x:c r="C808" s="32"/>
      <x:c r="D808" s="35"/>
      <x:c r="E808" s="32"/>
      <x:c r="F808" s="32"/>
      <x:c r="G808" s="32"/>
      <x:c r="H808" s="32"/>
      <x:c r="I808" s="32"/>
      <x:c r="J808" s="32"/>
      <x:c r="K808" s="32"/>
      <x:c r="L808" s="32"/>
      <x:c r="M808" s="32"/>
      <x:c r="N808" s="37"/>
      <x:c r="O808" s="32"/>
      <x:c r="P808" s="40"/>
      <x:c r="Q808" s="40"/>
      <x:c r="R808" s="41" t="str">
        <x:f>IF(OR(P808="",Q808=""),"",P808-Q808)</x:f>
      </x:c>
      <x:c r="S808" s="32"/>
      <x:c r="T808" s="32"/>
      <x:c r="U808" s="32"/>
      <x:c r="V808" s="32"/>
      <x:c r="W808" s="32"/>
      <x:c r="X808" s="32"/>
      <x:c r="Y808" s="43" t="str">
        <x:f>IF(OR(X808="",X808="Pending"),"",IF(X808="Rejected",0,IF(AND(U808="Ya",V808="Ya",W808="Ya"),1,"")))</x:f>
      </x:c>
      <x:c r="AA808" s="32"/>
      <x:c r="AB808" s="32"/>
      <x:c r="AC808" s="32"/>
      <x:c r="AD808" s="32"/>
      <x:c r="AE808" s="32"/>
      <x:c r="AF808" s="32"/>
      <x:c r="AG808" s="33" t="str">
        <x:f>IF(OR(AE808="",AF808=""),"",IF(AE808="Positif",IF(AF808="Positif","TP","FN"),IF(AF808="Positif","FP","TN")))</x:f>
      </x:c>
    </x:row>
    <x:row r="809">
      <x:c r="A809" s="32"/>
      <x:c r="B809" s="32"/>
      <x:c r="C809" s="32"/>
      <x:c r="D809" s="35"/>
      <x:c r="E809" s="32"/>
      <x:c r="F809" s="32"/>
      <x:c r="G809" s="32"/>
      <x:c r="H809" s="32"/>
      <x:c r="I809" s="32"/>
      <x:c r="J809" s="32"/>
      <x:c r="K809" s="32"/>
      <x:c r="L809" s="32"/>
      <x:c r="M809" s="32"/>
      <x:c r="N809" s="37"/>
      <x:c r="O809" s="32"/>
      <x:c r="P809" s="40"/>
      <x:c r="Q809" s="40"/>
      <x:c r="R809" s="41" t="str">
        <x:f>IF(OR(P809="",Q809=""),"",P809-Q809)</x:f>
      </x:c>
      <x:c r="S809" s="32"/>
      <x:c r="T809" s="32"/>
      <x:c r="U809" s="32"/>
      <x:c r="V809" s="32"/>
      <x:c r="W809" s="32"/>
      <x:c r="X809" s="32"/>
      <x:c r="Y809" s="43" t="str">
        <x:f>IF(OR(X809="",X809="Pending"),"",IF(X809="Rejected",0,IF(AND(U809="Ya",V809="Ya",W809="Ya"),1,"")))</x:f>
      </x:c>
      <x:c r="AA809" s="32"/>
      <x:c r="AB809" s="32"/>
      <x:c r="AC809" s="32"/>
      <x:c r="AD809" s="32"/>
      <x:c r="AE809" s="32"/>
      <x:c r="AF809" s="32"/>
      <x:c r="AG809" s="33" t="str">
        <x:f>IF(OR(AE809="",AF809=""),"",IF(AE809="Positif",IF(AF809="Positif","TP","FN"),IF(AF809="Positif","FP","TN")))</x:f>
      </x:c>
    </x:row>
    <x:row r="810">
      <x:c r="A810" s="32"/>
      <x:c r="B810" s="32"/>
      <x:c r="C810" s="32"/>
      <x:c r="D810" s="35"/>
      <x:c r="E810" s="32"/>
      <x:c r="F810" s="32"/>
      <x:c r="G810" s="32"/>
      <x:c r="H810" s="32"/>
      <x:c r="I810" s="32"/>
      <x:c r="J810" s="32"/>
      <x:c r="K810" s="32"/>
      <x:c r="L810" s="32"/>
      <x:c r="M810" s="32"/>
      <x:c r="N810" s="37"/>
      <x:c r="O810" s="32"/>
      <x:c r="P810" s="40"/>
      <x:c r="Q810" s="40"/>
      <x:c r="R810" s="41" t="str">
        <x:f>IF(OR(P810="",Q810=""),"",P810-Q810)</x:f>
      </x:c>
      <x:c r="S810" s="32"/>
      <x:c r="T810" s="32"/>
      <x:c r="U810" s="32"/>
      <x:c r="V810" s="32"/>
      <x:c r="W810" s="32"/>
      <x:c r="X810" s="32"/>
      <x:c r="Y810" s="43" t="str">
        <x:f>IF(OR(X810="",X810="Pending"),"",IF(X810="Rejected",0,IF(AND(U810="Ya",V810="Ya",W810="Ya"),1,"")))</x:f>
      </x:c>
      <x:c r="AA810" s="32"/>
      <x:c r="AB810" s="32"/>
      <x:c r="AC810" s="32"/>
      <x:c r="AD810" s="32"/>
      <x:c r="AE810" s="32"/>
      <x:c r="AF810" s="32"/>
      <x:c r="AG810" s="33" t="str">
        <x:f>IF(OR(AE810="",AF810=""),"",IF(AE810="Positif",IF(AF810="Positif","TP","FN"),IF(AF810="Positif","FP","TN")))</x:f>
      </x:c>
    </x:row>
    <x:row r="811">
      <x:c r="A811" s="32"/>
      <x:c r="B811" s="32"/>
      <x:c r="C811" s="32"/>
      <x:c r="D811" s="35"/>
      <x:c r="E811" s="32"/>
      <x:c r="F811" s="32"/>
      <x:c r="G811" s="32"/>
      <x:c r="H811" s="32"/>
      <x:c r="I811" s="32"/>
      <x:c r="J811" s="32"/>
      <x:c r="K811" s="32"/>
      <x:c r="L811" s="32"/>
      <x:c r="M811" s="32"/>
      <x:c r="N811" s="37"/>
      <x:c r="O811" s="32"/>
      <x:c r="P811" s="40"/>
      <x:c r="Q811" s="40"/>
      <x:c r="R811" s="41" t="str">
        <x:f>IF(OR(P811="",Q811=""),"",P811-Q811)</x:f>
      </x:c>
      <x:c r="S811" s="32"/>
      <x:c r="T811" s="32"/>
      <x:c r="U811" s="32"/>
      <x:c r="V811" s="32"/>
      <x:c r="W811" s="32"/>
      <x:c r="X811" s="32"/>
      <x:c r="Y811" s="43" t="str">
        <x:f>IF(OR(X811="",X811="Pending"),"",IF(X811="Rejected",0,IF(AND(U811="Ya",V811="Ya",W811="Ya"),1,"")))</x:f>
      </x:c>
      <x:c r="AA811" s="32"/>
      <x:c r="AB811" s="32"/>
      <x:c r="AC811" s="32"/>
      <x:c r="AD811" s="32"/>
      <x:c r="AE811" s="32"/>
      <x:c r="AF811" s="32"/>
      <x:c r="AG811" s="33" t="str">
        <x:f>IF(OR(AE811="",AF811=""),"",IF(AE811="Positif",IF(AF811="Positif","TP","FN"),IF(AF811="Positif","FP","TN")))</x:f>
      </x:c>
    </x:row>
    <x:row r="812">
      <x:c r="A812" s="32"/>
      <x:c r="B812" s="32"/>
      <x:c r="C812" s="32"/>
      <x:c r="D812" s="35"/>
      <x:c r="E812" s="32"/>
      <x:c r="F812" s="32"/>
      <x:c r="G812" s="32"/>
      <x:c r="H812" s="32"/>
      <x:c r="I812" s="32"/>
      <x:c r="J812" s="32"/>
      <x:c r="K812" s="32"/>
      <x:c r="L812" s="32"/>
      <x:c r="M812" s="32"/>
      <x:c r="N812" s="37"/>
      <x:c r="O812" s="32"/>
      <x:c r="P812" s="40"/>
      <x:c r="Q812" s="40"/>
      <x:c r="R812" s="41" t="str">
        <x:f>IF(OR(P812="",Q812=""),"",P812-Q812)</x:f>
      </x:c>
      <x:c r="S812" s="32"/>
      <x:c r="T812" s="32"/>
      <x:c r="U812" s="32"/>
      <x:c r="V812" s="32"/>
      <x:c r="W812" s="32"/>
      <x:c r="X812" s="32"/>
      <x:c r="Y812" s="43" t="str">
        <x:f>IF(OR(X812="",X812="Pending"),"",IF(X812="Rejected",0,IF(AND(U812="Ya",V812="Ya",W812="Ya"),1,"")))</x:f>
      </x:c>
      <x:c r="AA812" s="32"/>
      <x:c r="AB812" s="32"/>
      <x:c r="AC812" s="32"/>
      <x:c r="AD812" s="32"/>
      <x:c r="AE812" s="32"/>
      <x:c r="AF812" s="32"/>
      <x:c r="AG812" s="33" t="str">
        <x:f>IF(OR(AE812="",AF812=""),"",IF(AE812="Positif",IF(AF812="Positif","TP","FN"),IF(AF812="Positif","FP","TN")))</x:f>
      </x:c>
    </x:row>
    <x:row r="813">
      <x:c r="A813" s="32"/>
      <x:c r="B813" s="32"/>
      <x:c r="C813" s="32"/>
      <x:c r="D813" s="35"/>
      <x:c r="E813" s="32"/>
      <x:c r="F813" s="32"/>
      <x:c r="G813" s="32"/>
      <x:c r="H813" s="32"/>
      <x:c r="I813" s="32"/>
      <x:c r="J813" s="32"/>
      <x:c r="K813" s="32"/>
      <x:c r="L813" s="32"/>
      <x:c r="M813" s="32"/>
      <x:c r="N813" s="37"/>
      <x:c r="O813" s="32"/>
      <x:c r="P813" s="40"/>
      <x:c r="Q813" s="40"/>
      <x:c r="R813" s="41" t="str">
        <x:f>IF(OR(P813="",Q813=""),"",P813-Q813)</x:f>
      </x:c>
      <x:c r="S813" s="32"/>
      <x:c r="T813" s="32"/>
      <x:c r="U813" s="32"/>
      <x:c r="V813" s="32"/>
      <x:c r="W813" s="32"/>
      <x:c r="X813" s="32"/>
      <x:c r="Y813" s="43" t="str">
        <x:f>IF(OR(X813="",X813="Pending"),"",IF(X813="Rejected",0,IF(AND(U813="Ya",V813="Ya",W813="Ya"),1,"")))</x:f>
      </x:c>
      <x:c r="AA813" s="32"/>
      <x:c r="AB813" s="32"/>
      <x:c r="AC813" s="32"/>
      <x:c r="AD813" s="32"/>
      <x:c r="AE813" s="32"/>
      <x:c r="AF813" s="32"/>
      <x:c r="AG813" s="33" t="str">
        <x:f>IF(OR(AE813="",AF813=""),"",IF(AE813="Positif",IF(AF813="Positif","TP","FN"),IF(AF813="Positif","FP","TN")))</x:f>
      </x:c>
    </x:row>
    <x:row r="814">
      <x:c r="A814" s="32"/>
      <x:c r="B814" s="32"/>
      <x:c r="C814" s="32"/>
      <x:c r="D814" s="35"/>
      <x:c r="E814" s="32"/>
      <x:c r="F814" s="32"/>
      <x:c r="G814" s="32"/>
      <x:c r="H814" s="32"/>
      <x:c r="I814" s="32"/>
      <x:c r="J814" s="32"/>
      <x:c r="K814" s="32"/>
      <x:c r="L814" s="32"/>
      <x:c r="M814" s="32"/>
      <x:c r="N814" s="37"/>
      <x:c r="O814" s="32"/>
      <x:c r="P814" s="40"/>
      <x:c r="Q814" s="40"/>
      <x:c r="R814" s="41" t="str">
        <x:f>IF(OR(P814="",Q814=""),"",P814-Q814)</x:f>
      </x:c>
      <x:c r="S814" s="32"/>
      <x:c r="T814" s="32"/>
      <x:c r="U814" s="32"/>
      <x:c r="V814" s="32"/>
      <x:c r="W814" s="32"/>
      <x:c r="X814" s="32"/>
      <x:c r="Y814" s="43" t="str">
        <x:f>IF(OR(X814="",X814="Pending"),"",IF(X814="Rejected",0,IF(AND(U814="Ya",V814="Ya",W814="Ya"),1,"")))</x:f>
      </x:c>
      <x:c r="AA814" s="32"/>
      <x:c r="AB814" s="32"/>
      <x:c r="AC814" s="32"/>
      <x:c r="AD814" s="32"/>
      <x:c r="AE814" s="32"/>
      <x:c r="AF814" s="32"/>
      <x:c r="AG814" s="33" t="str">
        <x:f>IF(OR(AE814="",AF814=""),"",IF(AE814="Positif",IF(AF814="Positif","TP","FN"),IF(AF814="Positif","FP","TN")))</x:f>
      </x:c>
    </x:row>
    <x:row r="815">
      <x:c r="A815" s="32"/>
      <x:c r="B815" s="32"/>
      <x:c r="C815" s="32"/>
      <x:c r="D815" s="35"/>
      <x:c r="E815" s="32"/>
      <x:c r="F815" s="32"/>
      <x:c r="G815" s="32"/>
      <x:c r="H815" s="32"/>
      <x:c r="I815" s="32"/>
      <x:c r="J815" s="32"/>
      <x:c r="K815" s="32"/>
      <x:c r="L815" s="32"/>
      <x:c r="M815" s="32"/>
      <x:c r="N815" s="37"/>
      <x:c r="O815" s="32"/>
      <x:c r="P815" s="40"/>
      <x:c r="Q815" s="40"/>
      <x:c r="R815" s="41" t="str">
        <x:f>IF(OR(P815="",Q815=""),"",P815-Q815)</x:f>
      </x:c>
      <x:c r="S815" s="32"/>
      <x:c r="T815" s="32"/>
      <x:c r="U815" s="32"/>
      <x:c r="V815" s="32"/>
      <x:c r="W815" s="32"/>
      <x:c r="X815" s="32"/>
      <x:c r="Y815" s="43" t="str">
        <x:f>IF(OR(X815="",X815="Pending"),"",IF(X815="Rejected",0,IF(AND(U815="Ya",V815="Ya",W815="Ya"),1,"")))</x:f>
      </x:c>
      <x:c r="AA815" s="32"/>
      <x:c r="AB815" s="32"/>
      <x:c r="AC815" s="32"/>
      <x:c r="AD815" s="32"/>
      <x:c r="AE815" s="32"/>
      <x:c r="AF815" s="32"/>
      <x:c r="AG815" s="33" t="str">
        <x:f>IF(OR(AE815="",AF815=""),"",IF(AE815="Positif",IF(AF815="Positif","TP","FN"),IF(AF815="Positif","FP","TN")))</x:f>
      </x:c>
    </x:row>
    <x:row r="816">
      <x:c r="A816" s="32"/>
      <x:c r="B816" s="32"/>
      <x:c r="C816" s="32"/>
      <x:c r="D816" s="35"/>
      <x:c r="E816" s="32"/>
      <x:c r="F816" s="32"/>
      <x:c r="G816" s="32"/>
      <x:c r="H816" s="32"/>
      <x:c r="I816" s="32"/>
      <x:c r="J816" s="32"/>
      <x:c r="K816" s="32"/>
      <x:c r="L816" s="32"/>
      <x:c r="M816" s="32"/>
      <x:c r="N816" s="37"/>
      <x:c r="O816" s="32"/>
      <x:c r="P816" s="40"/>
      <x:c r="Q816" s="40"/>
      <x:c r="R816" s="41" t="str">
        <x:f>IF(OR(P816="",Q816=""),"",P816-Q816)</x:f>
      </x:c>
      <x:c r="S816" s="32"/>
      <x:c r="T816" s="32"/>
      <x:c r="U816" s="32"/>
      <x:c r="V816" s="32"/>
      <x:c r="W816" s="32"/>
      <x:c r="X816" s="32"/>
      <x:c r="Y816" s="43" t="str">
        <x:f>IF(OR(X816="",X816="Pending"),"",IF(X816="Rejected",0,IF(AND(U816="Ya",V816="Ya",W816="Ya"),1,"")))</x:f>
      </x:c>
      <x:c r="AA816" s="32"/>
      <x:c r="AB816" s="32"/>
      <x:c r="AC816" s="32"/>
      <x:c r="AD816" s="32"/>
      <x:c r="AE816" s="32"/>
      <x:c r="AF816" s="32"/>
      <x:c r="AG816" s="33" t="str">
        <x:f>IF(OR(AE816="",AF816=""),"",IF(AE816="Positif",IF(AF816="Positif","TP","FN"),IF(AF816="Positif","FP","TN")))</x:f>
      </x:c>
    </x:row>
    <x:row r="817">
      <x:c r="A817" s="32"/>
      <x:c r="B817" s="32"/>
      <x:c r="C817" s="32"/>
      <x:c r="D817" s="35"/>
      <x:c r="E817" s="32"/>
      <x:c r="F817" s="32"/>
      <x:c r="G817" s="32"/>
      <x:c r="H817" s="32"/>
      <x:c r="I817" s="32"/>
      <x:c r="J817" s="32"/>
      <x:c r="K817" s="32"/>
      <x:c r="L817" s="32"/>
      <x:c r="M817" s="32"/>
      <x:c r="N817" s="37"/>
      <x:c r="O817" s="32"/>
      <x:c r="P817" s="40"/>
      <x:c r="Q817" s="40"/>
      <x:c r="R817" s="41" t="str">
        <x:f>IF(OR(P817="",Q817=""),"",P817-Q817)</x:f>
      </x:c>
      <x:c r="S817" s="32"/>
      <x:c r="T817" s="32"/>
      <x:c r="U817" s="32"/>
      <x:c r="V817" s="32"/>
      <x:c r="W817" s="32"/>
      <x:c r="X817" s="32"/>
      <x:c r="Y817" s="43" t="str">
        <x:f>IF(OR(X817="",X817="Pending"),"",IF(X817="Rejected",0,IF(AND(U817="Ya",V817="Ya",W817="Ya"),1,"")))</x:f>
      </x:c>
      <x:c r="AA817" s="32"/>
      <x:c r="AB817" s="32"/>
      <x:c r="AC817" s="32"/>
      <x:c r="AD817" s="32"/>
      <x:c r="AE817" s="32"/>
      <x:c r="AF817" s="32"/>
      <x:c r="AG817" s="33" t="str">
        <x:f>IF(OR(AE817="",AF817=""),"",IF(AE817="Positif",IF(AF817="Positif","TP","FN"),IF(AF817="Positif","FP","TN")))</x:f>
      </x:c>
    </x:row>
    <x:row r="818">
      <x:c r="A818" s="32"/>
      <x:c r="B818" s="32"/>
      <x:c r="C818" s="32"/>
      <x:c r="D818" s="35"/>
      <x:c r="E818" s="32"/>
      <x:c r="F818" s="32"/>
      <x:c r="G818" s="32"/>
      <x:c r="H818" s="32"/>
      <x:c r="I818" s="32"/>
      <x:c r="J818" s="32"/>
      <x:c r="K818" s="32"/>
      <x:c r="L818" s="32"/>
      <x:c r="M818" s="32"/>
      <x:c r="N818" s="37"/>
      <x:c r="O818" s="32"/>
      <x:c r="P818" s="40"/>
      <x:c r="Q818" s="40"/>
      <x:c r="R818" s="41" t="str">
        <x:f>IF(OR(P818="",Q818=""),"",P818-Q818)</x:f>
      </x:c>
      <x:c r="S818" s="32"/>
      <x:c r="T818" s="32"/>
      <x:c r="U818" s="32"/>
      <x:c r="V818" s="32"/>
      <x:c r="W818" s="32"/>
      <x:c r="X818" s="32"/>
      <x:c r="Y818" s="43" t="str">
        <x:f>IF(OR(X818="",X818="Pending"),"",IF(X818="Rejected",0,IF(AND(U818="Ya",V818="Ya",W818="Ya"),1,"")))</x:f>
      </x:c>
      <x:c r="AA818" s="32"/>
      <x:c r="AB818" s="32"/>
      <x:c r="AC818" s="32"/>
      <x:c r="AD818" s="32"/>
      <x:c r="AE818" s="32"/>
      <x:c r="AF818" s="32"/>
      <x:c r="AG818" s="33" t="str">
        <x:f>IF(OR(AE818="",AF818=""),"",IF(AE818="Positif",IF(AF818="Positif","TP","FN"),IF(AF818="Positif","FP","TN")))</x:f>
      </x:c>
    </x:row>
    <x:row r="819">
      <x:c r="A819" s="32"/>
      <x:c r="B819" s="32"/>
      <x:c r="C819" s="32"/>
      <x:c r="D819" s="35"/>
      <x:c r="E819" s="32"/>
      <x:c r="F819" s="32"/>
      <x:c r="G819" s="32"/>
      <x:c r="H819" s="32"/>
      <x:c r="I819" s="32"/>
      <x:c r="J819" s="32"/>
      <x:c r="K819" s="32"/>
      <x:c r="L819" s="32"/>
      <x:c r="M819" s="32"/>
      <x:c r="N819" s="37"/>
      <x:c r="O819" s="32"/>
      <x:c r="P819" s="40"/>
      <x:c r="Q819" s="40"/>
      <x:c r="R819" s="41" t="str">
        <x:f>IF(OR(P819="",Q819=""),"",P819-Q819)</x:f>
      </x:c>
      <x:c r="S819" s="32"/>
      <x:c r="T819" s="32"/>
      <x:c r="U819" s="32"/>
      <x:c r="V819" s="32"/>
      <x:c r="W819" s="32"/>
      <x:c r="X819" s="32"/>
      <x:c r="Y819" s="43" t="str">
        <x:f>IF(OR(X819="",X819="Pending"),"",IF(X819="Rejected",0,IF(AND(U819="Ya",V819="Ya",W819="Ya"),1,"")))</x:f>
      </x:c>
      <x:c r="AA819" s="32"/>
      <x:c r="AB819" s="32"/>
      <x:c r="AC819" s="32"/>
      <x:c r="AD819" s="32"/>
      <x:c r="AE819" s="32"/>
      <x:c r="AF819" s="32"/>
      <x:c r="AG819" s="33" t="str">
        <x:f>IF(OR(AE819="",AF819=""),"",IF(AE819="Positif",IF(AF819="Positif","TP","FN"),IF(AF819="Positif","FP","TN")))</x:f>
      </x:c>
    </x:row>
    <x:row r="820">
      <x:c r="A820" s="32"/>
      <x:c r="B820" s="32"/>
      <x:c r="C820" s="32"/>
      <x:c r="D820" s="35"/>
      <x:c r="E820" s="32"/>
      <x:c r="F820" s="32"/>
      <x:c r="G820" s="32"/>
      <x:c r="H820" s="32"/>
      <x:c r="I820" s="32"/>
      <x:c r="J820" s="32"/>
      <x:c r="K820" s="32"/>
      <x:c r="L820" s="32"/>
      <x:c r="M820" s="32"/>
      <x:c r="N820" s="37"/>
      <x:c r="O820" s="32"/>
      <x:c r="P820" s="40"/>
      <x:c r="Q820" s="40"/>
      <x:c r="R820" s="41" t="str">
        <x:f>IF(OR(P820="",Q820=""),"",P820-Q820)</x:f>
      </x:c>
      <x:c r="S820" s="32"/>
      <x:c r="T820" s="32"/>
      <x:c r="U820" s="32"/>
      <x:c r="V820" s="32"/>
      <x:c r="W820" s="32"/>
      <x:c r="X820" s="32"/>
      <x:c r="Y820" s="43" t="str">
        <x:f>IF(OR(X820="",X820="Pending"),"",IF(X820="Rejected",0,IF(AND(U820="Ya",V820="Ya",W820="Ya"),1,"")))</x:f>
      </x:c>
      <x:c r="AA820" s="32"/>
      <x:c r="AB820" s="32"/>
      <x:c r="AC820" s="32"/>
      <x:c r="AD820" s="32"/>
      <x:c r="AE820" s="32"/>
      <x:c r="AF820" s="32"/>
      <x:c r="AG820" s="33" t="str">
        <x:f>IF(OR(AE820="",AF820=""),"",IF(AE820="Positif",IF(AF820="Positif","TP","FN"),IF(AF820="Positif","FP","TN")))</x:f>
      </x:c>
    </x:row>
    <x:row r="821">
      <x:c r="A821" s="32"/>
      <x:c r="B821" s="32"/>
      <x:c r="C821" s="32"/>
      <x:c r="D821" s="35"/>
      <x:c r="E821" s="32"/>
      <x:c r="F821" s="32"/>
      <x:c r="G821" s="32"/>
      <x:c r="H821" s="32"/>
      <x:c r="I821" s="32"/>
      <x:c r="J821" s="32"/>
      <x:c r="K821" s="32"/>
      <x:c r="L821" s="32"/>
      <x:c r="M821" s="32"/>
      <x:c r="N821" s="37"/>
      <x:c r="O821" s="32"/>
      <x:c r="P821" s="40"/>
      <x:c r="Q821" s="40"/>
      <x:c r="R821" s="41" t="str">
        <x:f>IF(OR(P821="",Q821=""),"",P821-Q821)</x:f>
      </x:c>
      <x:c r="S821" s="32"/>
      <x:c r="T821" s="32"/>
      <x:c r="U821" s="32"/>
      <x:c r="V821" s="32"/>
      <x:c r="W821" s="32"/>
      <x:c r="X821" s="32"/>
      <x:c r="Y821" s="43" t="str">
        <x:f>IF(OR(X821="",X821="Pending"),"",IF(X821="Rejected",0,IF(AND(U821="Ya",V821="Ya",W821="Ya"),1,"")))</x:f>
      </x:c>
      <x:c r="AA821" s="32"/>
      <x:c r="AB821" s="32"/>
      <x:c r="AC821" s="32"/>
      <x:c r="AD821" s="32"/>
      <x:c r="AE821" s="32"/>
      <x:c r="AF821" s="32"/>
      <x:c r="AG821" s="33" t="str">
        <x:f>IF(OR(AE821="",AF821=""),"",IF(AE821="Positif",IF(AF821="Positif","TP","FN"),IF(AF821="Positif","FP","TN")))</x:f>
      </x:c>
    </x:row>
    <x:row r="822">
      <x:c r="A822" s="32"/>
      <x:c r="B822" s="32"/>
      <x:c r="C822" s="32"/>
      <x:c r="D822" s="35"/>
      <x:c r="E822" s="32"/>
      <x:c r="F822" s="32"/>
      <x:c r="G822" s="32"/>
      <x:c r="H822" s="32"/>
      <x:c r="I822" s="32"/>
      <x:c r="J822" s="32"/>
      <x:c r="K822" s="32"/>
      <x:c r="L822" s="32"/>
      <x:c r="M822" s="32"/>
      <x:c r="N822" s="37"/>
      <x:c r="O822" s="32"/>
      <x:c r="P822" s="40"/>
      <x:c r="Q822" s="40"/>
      <x:c r="R822" s="41" t="str">
        <x:f>IF(OR(P822="",Q822=""),"",P822-Q822)</x:f>
      </x:c>
      <x:c r="S822" s="32"/>
      <x:c r="T822" s="32"/>
      <x:c r="U822" s="32"/>
      <x:c r="V822" s="32"/>
      <x:c r="W822" s="32"/>
      <x:c r="X822" s="32"/>
      <x:c r="Y822" s="43" t="str">
        <x:f>IF(OR(X822="",X822="Pending"),"",IF(X822="Rejected",0,IF(AND(U822="Ya",V822="Ya",W822="Ya"),1,"")))</x:f>
      </x:c>
      <x:c r="AA822" s="32"/>
      <x:c r="AB822" s="32"/>
      <x:c r="AC822" s="32"/>
      <x:c r="AD822" s="32"/>
      <x:c r="AE822" s="32"/>
      <x:c r="AF822" s="32"/>
      <x:c r="AG822" s="33" t="str">
        <x:f>IF(OR(AE822="",AF822=""),"",IF(AE822="Positif",IF(AF822="Positif","TP","FN"),IF(AF822="Positif","FP","TN")))</x:f>
      </x:c>
    </x:row>
    <x:row r="823">
      <x:c r="A823" s="32"/>
      <x:c r="B823" s="32"/>
      <x:c r="C823" s="32"/>
      <x:c r="D823" s="35"/>
      <x:c r="E823" s="32"/>
      <x:c r="F823" s="32"/>
      <x:c r="G823" s="32"/>
      <x:c r="H823" s="32"/>
      <x:c r="I823" s="32"/>
      <x:c r="J823" s="32"/>
      <x:c r="K823" s="32"/>
      <x:c r="L823" s="32"/>
      <x:c r="M823" s="32"/>
      <x:c r="N823" s="37"/>
      <x:c r="O823" s="32"/>
      <x:c r="P823" s="40"/>
      <x:c r="Q823" s="40"/>
      <x:c r="R823" s="41" t="str">
        <x:f>IF(OR(P823="",Q823=""),"",P823-Q823)</x:f>
      </x:c>
      <x:c r="S823" s="32"/>
      <x:c r="T823" s="32"/>
      <x:c r="U823" s="32"/>
      <x:c r="V823" s="32"/>
      <x:c r="W823" s="32"/>
      <x:c r="X823" s="32"/>
      <x:c r="Y823" s="43" t="str">
        <x:f>IF(OR(X823="",X823="Pending"),"",IF(X823="Rejected",0,IF(AND(U823="Ya",V823="Ya",W823="Ya"),1,"")))</x:f>
      </x:c>
      <x:c r="AA823" s="32"/>
      <x:c r="AB823" s="32"/>
      <x:c r="AC823" s="32"/>
      <x:c r="AD823" s="32"/>
      <x:c r="AE823" s="32"/>
      <x:c r="AF823" s="32"/>
      <x:c r="AG823" s="33" t="str">
        <x:f>IF(OR(AE823="",AF823=""),"",IF(AE823="Positif",IF(AF823="Positif","TP","FN"),IF(AF823="Positif","FP","TN")))</x:f>
      </x:c>
    </x:row>
    <x:row r="824">
      <x:c r="A824" s="32"/>
      <x:c r="B824" s="32"/>
      <x:c r="C824" s="32"/>
      <x:c r="D824" s="35"/>
      <x:c r="E824" s="32"/>
      <x:c r="F824" s="32"/>
      <x:c r="G824" s="32"/>
      <x:c r="H824" s="32"/>
      <x:c r="I824" s="32"/>
      <x:c r="J824" s="32"/>
      <x:c r="K824" s="32"/>
      <x:c r="L824" s="32"/>
      <x:c r="M824" s="32"/>
      <x:c r="N824" s="37"/>
      <x:c r="O824" s="32"/>
      <x:c r="P824" s="40"/>
      <x:c r="Q824" s="40"/>
      <x:c r="R824" s="41" t="str">
        <x:f>IF(OR(P824="",Q824=""),"",P824-Q824)</x:f>
      </x:c>
      <x:c r="S824" s="32"/>
      <x:c r="T824" s="32"/>
      <x:c r="U824" s="32"/>
      <x:c r="V824" s="32"/>
      <x:c r="W824" s="32"/>
      <x:c r="X824" s="32"/>
      <x:c r="Y824" s="43" t="str">
        <x:f>IF(OR(X824="",X824="Pending"),"",IF(X824="Rejected",0,IF(AND(U824="Ya",V824="Ya",W824="Ya"),1,"")))</x:f>
      </x:c>
      <x:c r="AA824" s="32"/>
      <x:c r="AB824" s="32"/>
      <x:c r="AC824" s="32"/>
      <x:c r="AD824" s="32"/>
      <x:c r="AE824" s="32"/>
      <x:c r="AF824" s="32"/>
      <x:c r="AG824" s="33" t="str">
        <x:f>IF(OR(AE824="",AF824=""),"",IF(AE824="Positif",IF(AF824="Positif","TP","FN"),IF(AF824="Positif","FP","TN")))</x:f>
      </x:c>
    </x:row>
    <x:row r="825">
      <x:c r="A825" s="32"/>
      <x:c r="B825" s="32"/>
      <x:c r="C825" s="32"/>
      <x:c r="D825" s="35"/>
      <x:c r="E825" s="32"/>
      <x:c r="F825" s="32"/>
      <x:c r="G825" s="32"/>
      <x:c r="H825" s="32"/>
      <x:c r="I825" s="32"/>
      <x:c r="J825" s="32"/>
      <x:c r="K825" s="32"/>
      <x:c r="L825" s="32"/>
      <x:c r="M825" s="32"/>
      <x:c r="N825" s="37"/>
      <x:c r="O825" s="32"/>
      <x:c r="P825" s="40"/>
      <x:c r="Q825" s="40"/>
      <x:c r="R825" s="41" t="str">
        <x:f>IF(OR(P825="",Q825=""),"",P825-Q825)</x:f>
      </x:c>
      <x:c r="S825" s="32"/>
      <x:c r="T825" s="32"/>
      <x:c r="U825" s="32"/>
      <x:c r="V825" s="32"/>
      <x:c r="W825" s="32"/>
      <x:c r="X825" s="32"/>
      <x:c r="Y825" s="43" t="str">
        <x:f>IF(OR(X825="",X825="Pending"),"",IF(X825="Rejected",0,IF(AND(U825="Ya",V825="Ya",W825="Ya"),1,"")))</x:f>
      </x:c>
      <x:c r="AA825" s="32"/>
      <x:c r="AB825" s="32"/>
      <x:c r="AC825" s="32"/>
      <x:c r="AD825" s="32"/>
      <x:c r="AE825" s="32"/>
      <x:c r="AF825" s="32"/>
      <x:c r="AG825" s="33" t="str">
        <x:f>IF(OR(AE825="",AF825=""),"",IF(AE825="Positif",IF(AF825="Positif","TP","FN"),IF(AF825="Positif","FP","TN")))</x:f>
      </x:c>
    </x:row>
    <x:row r="826">
      <x:c r="A826" s="32"/>
      <x:c r="B826" s="32"/>
      <x:c r="C826" s="32"/>
      <x:c r="D826" s="35"/>
      <x:c r="E826" s="32"/>
      <x:c r="F826" s="32"/>
      <x:c r="G826" s="32"/>
      <x:c r="H826" s="32"/>
      <x:c r="I826" s="32"/>
      <x:c r="J826" s="32"/>
      <x:c r="K826" s="32"/>
      <x:c r="L826" s="32"/>
      <x:c r="M826" s="32"/>
      <x:c r="N826" s="37"/>
      <x:c r="O826" s="32"/>
      <x:c r="P826" s="40"/>
      <x:c r="Q826" s="40"/>
      <x:c r="R826" s="41" t="str">
        <x:f>IF(OR(P826="",Q826=""),"",P826-Q826)</x:f>
      </x:c>
      <x:c r="S826" s="32"/>
      <x:c r="T826" s="32"/>
      <x:c r="U826" s="32"/>
      <x:c r="V826" s="32"/>
      <x:c r="W826" s="32"/>
      <x:c r="X826" s="32"/>
      <x:c r="Y826" s="43" t="str">
        <x:f>IF(OR(X826="",X826="Pending"),"",IF(X826="Rejected",0,IF(AND(U826="Ya",V826="Ya",W826="Ya"),1,"")))</x:f>
      </x:c>
      <x:c r="AA826" s="32"/>
      <x:c r="AB826" s="32"/>
      <x:c r="AC826" s="32"/>
      <x:c r="AD826" s="32"/>
      <x:c r="AE826" s="32"/>
      <x:c r="AF826" s="32"/>
      <x:c r="AG826" s="33" t="str">
        <x:f>IF(OR(AE826="",AF826=""),"",IF(AE826="Positif",IF(AF826="Positif","TP","FN"),IF(AF826="Positif","FP","TN")))</x:f>
      </x:c>
    </x:row>
    <x:row r="827">
      <x:c r="A827" s="32"/>
      <x:c r="B827" s="32"/>
      <x:c r="C827" s="32"/>
      <x:c r="D827" s="35"/>
      <x:c r="E827" s="32"/>
      <x:c r="F827" s="32"/>
      <x:c r="G827" s="32"/>
      <x:c r="H827" s="32"/>
      <x:c r="I827" s="32"/>
      <x:c r="J827" s="32"/>
      <x:c r="K827" s="32"/>
      <x:c r="L827" s="32"/>
      <x:c r="M827" s="32"/>
      <x:c r="N827" s="37"/>
      <x:c r="O827" s="32"/>
      <x:c r="P827" s="40"/>
      <x:c r="Q827" s="40"/>
      <x:c r="R827" s="41" t="str">
        <x:f>IF(OR(P827="",Q827=""),"",P827-Q827)</x:f>
      </x:c>
      <x:c r="S827" s="32"/>
      <x:c r="T827" s="32"/>
      <x:c r="U827" s="32"/>
      <x:c r="V827" s="32"/>
      <x:c r="W827" s="32"/>
      <x:c r="X827" s="32"/>
      <x:c r="Y827" s="43" t="str">
        <x:f>IF(OR(X827="",X827="Pending"),"",IF(X827="Rejected",0,IF(AND(U827="Ya",V827="Ya",W827="Ya"),1,"")))</x:f>
      </x:c>
      <x:c r="AA827" s="32"/>
      <x:c r="AB827" s="32"/>
      <x:c r="AC827" s="32"/>
      <x:c r="AD827" s="32"/>
      <x:c r="AE827" s="32"/>
      <x:c r="AF827" s="32"/>
      <x:c r="AG827" s="33" t="str">
        <x:f>IF(OR(AE827="",AF827=""),"",IF(AE827="Positif",IF(AF827="Positif","TP","FN"),IF(AF827="Positif","FP","TN")))</x:f>
      </x:c>
    </x:row>
    <x:row r="828">
      <x:c r="A828" s="32"/>
      <x:c r="B828" s="32"/>
      <x:c r="C828" s="32"/>
      <x:c r="D828" s="35"/>
      <x:c r="E828" s="32"/>
      <x:c r="F828" s="32"/>
      <x:c r="G828" s="32"/>
      <x:c r="H828" s="32"/>
      <x:c r="I828" s="32"/>
      <x:c r="J828" s="32"/>
      <x:c r="K828" s="32"/>
      <x:c r="L828" s="32"/>
      <x:c r="M828" s="32"/>
      <x:c r="N828" s="37"/>
      <x:c r="O828" s="32"/>
      <x:c r="P828" s="40"/>
      <x:c r="Q828" s="40"/>
      <x:c r="R828" s="41" t="str">
        <x:f>IF(OR(P828="",Q828=""),"",P828-Q828)</x:f>
      </x:c>
      <x:c r="S828" s="32"/>
      <x:c r="T828" s="32"/>
      <x:c r="U828" s="32"/>
      <x:c r="V828" s="32"/>
      <x:c r="W828" s="32"/>
      <x:c r="X828" s="32"/>
      <x:c r="Y828" s="43" t="str">
        <x:f>IF(OR(X828="",X828="Pending"),"",IF(X828="Rejected",0,IF(AND(U828="Ya",V828="Ya",W828="Ya"),1,"")))</x:f>
      </x:c>
      <x:c r="AA828" s="32"/>
      <x:c r="AB828" s="32"/>
      <x:c r="AC828" s="32"/>
      <x:c r="AD828" s="32"/>
      <x:c r="AE828" s="32"/>
      <x:c r="AF828" s="32"/>
      <x:c r="AG828" s="33" t="str">
        <x:f>IF(OR(AE828="",AF828=""),"",IF(AE828="Positif",IF(AF828="Positif","TP","FN"),IF(AF828="Positif","FP","TN")))</x:f>
      </x:c>
    </x:row>
    <x:row r="829">
      <x:c r="A829" s="32"/>
      <x:c r="B829" s="32"/>
      <x:c r="C829" s="32"/>
      <x:c r="D829" s="35"/>
      <x:c r="E829" s="32"/>
      <x:c r="F829" s="32"/>
      <x:c r="G829" s="32"/>
      <x:c r="H829" s="32"/>
      <x:c r="I829" s="32"/>
      <x:c r="J829" s="32"/>
      <x:c r="K829" s="32"/>
      <x:c r="L829" s="32"/>
      <x:c r="M829" s="32"/>
      <x:c r="N829" s="37"/>
      <x:c r="O829" s="32"/>
      <x:c r="P829" s="40"/>
      <x:c r="Q829" s="40"/>
      <x:c r="R829" s="41" t="str">
        <x:f>IF(OR(P829="",Q829=""),"",P829-Q829)</x:f>
      </x:c>
      <x:c r="S829" s="32"/>
      <x:c r="T829" s="32"/>
      <x:c r="U829" s="32"/>
      <x:c r="V829" s="32"/>
      <x:c r="W829" s="32"/>
      <x:c r="X829" s="32"/>
      <x:c r="Y829" s="43" t="str">
        <x:f>IF(OR(X829="",X829="Pending"),"",IF(X829="Rejected",0,IF(AND(U829="Ya",V829="Ya",W829="Ya"),1,"")))</x:f>
      </x:c>
      <x:c r="AA829" s="32"/>
      <x:c r="AB829" s="32"/>
      <x:c r="AC829" s="32"/>
      <x:c r="AD829" s="32"/>
      <x:c r="AE829" s="32"/>
      <x:c r="AF829" s="32"/>
      <x:c r="AG829" s="33" t="str">
        <x:f>IF(OR(AE829="",AF829=""),"",IF(AE829="Positif",IF(AF829="Positif","TP","FN"),IF(AF829="Positif","FP","TN")))</x:f>
      </x:c>
    </x:row>
    <x:row r="830">
      <x:c r="A830" s="32"/>
      <x:c r="B830" s="32"/>
      <x:c r="C830" s="32"/>
      <x:c r="D830" s="35"/>
      <x:c r="E830" s="32"/>
      <x:c r="F830" s="32"/>
      <x:c r="G830" s="32"/>
      <x:c r="H830" s="32"/>
      <x:c r="I830" s="32"/>
      <x:c r="J830" s="32"/>
      <x:c r="K830" s="32"/>
      <x:c r="L830" s="32"/>
      <x:c r="M830" s="32"/>
      <x:c r="N830" s="37"/>
      <x:c r="O830" s="32"/>
      <x:c r="P830" s="40"/>
      <x:c r="Q830" s="40"/>
      <x:c r="R830" s="41" t="str">
        <x:f>IF(OR(P830="",Q830=""),"",P830-Q830)</x:f>
      </x:c>
      <x:c r="S830" s="32"/>
      <x:c r="T830" s="32"/>
      <x:c r="U830" s="32"/>
      <x:c r="V830" s="32"/>
      <x:c r="W830" s="32"/>
      <x:c r="X830" s="32"/>
      <x:c r="Y830" s="43" t="str">
        <x:f>IF(OR(X830="",X830="Pending"),"",IF(X830="Rejected",0,IF(AND(U830="Ya",V830="Ya",W830="Ya"),1,"")))</x:f>
      </x:c>
      <x:c r="AA830" s="32"/>
      <x:c r="AB830" s="32"/>
      <x:c r="AC830" s="32"/>
      <x:c r="AD830" s="32"/>
      <x:c r="AE830" s="32"/>
      <x:c r="AF830" s="32"/>
      <x:c r="AG830" s="33" t="str">
        <x:f>IF(OR(AE830="",AF830=""),"",IF(AE830="Positif",IF(AF830="Positif","TP","FN"),IF(AF830="Positif","FP","TN")))</x:f>
      </x:c>
    </x:row>
    <x:row r="831">
      <x:c r="A831" s="32"/>
      <x:c r="B831" s="32"/>
      <x:c r="C831" s="32"/>
      <x:c r="D831" s="35"/>
      <x:c r="E831" s="32"/>
      <x:c r="F831" s="32"/>
      <x:c r="G831" s="32"/>
      <x:c r="H831" s="32"/>
      <x:c r="I831" s="32"/>
      <x:c r="J831" s="32"/>
      <x:c r="K831" s="32"/>
      <x:c r="L831" s="32"/>
      <x:c r="M831" s="32"/>
      <x:c r="N831" s="37"/>
      <x:c r="O831" s="32"/>
      <x:c r="P831" s="40"/>
      <x:c r="Q831" s="40"/>
      <x:c r="R831" s="41" t="str">
        <x:f>IF(OR(P831="",Q831=""),"",P831-Q831)</x:f>
      </x:c>
      <x:c r="S831" s="32"/>
      <x:c r="T831" s="32"/>
      <x:c r="U831" s="32"/>
      <x:c r="V831" s="32"/>
      <x:c r="W831" s="32"/>
      <x:c r="X831" s="32"/>
      <x:c r="Y831" s="43" t="str">
        <x:f>IF(OR(X831="",X831="Pending"),"",IF(X831="Rejected",0,IF(AND(U831="Ya",V831="Ya",W831="Ya"),1,"")))</x:f>
      </x:c>
      <x:c r="AA831" s="32"/>
      <x:c r="AB831" s="32"/>
      <x:c r="AC831" s="32"/>
      <x:c r="AD831" s="32"/>
      <x:c r="AE831" s="32"/>
      <x:c r="AF831" s="32"/>
      <x:c r="AG831" s="33" t="str">
        <x:f>IF(OR(AE831="",AF831=""),"",IF(AE831="Positif",IF(AF831="Positif","TP","FN"),IF(AF831="Positif","FP","TN")))</x:f>
      </x:c>
    </x:row>
    <x:row r="832">
      <x:c r="A832" s="32"/>
      <x:c r="B832" s="32"/>
      <x:c r="C832" s="32"/>
      <x:c r="D832" s="35"/>
      <x:c r="E832" s="32"/>
      <x:c r="F832" s="32"/>
      <x:c r="G832" s="32"/>
      <x:c r="H832" s="32"/>
      <x:c r="I832" s="32"/>
      <x:c r="J832" s="32"/>
      <x:c r="K832" s="32"/>
      <x:c r="L832" s="32"/>
      <x:c r="M832" s="32"/>
      <x:c r="N832" s="37"/>
      <x:c r="O832" s="32"/>
      <x:c r="P832" s="40"/>
      <x:c r="Q832" s="40"/>
      <x:c r="R832" s="41" t="str">
        <x:f>IF(OR(P832="",Q832=""),"",P832-Q832)</x:f>
      </x:c>
      <x:c r="S832" s="32"/>
      <x:c r="T832" s="32"/>
      <x:c r="U832" s="32"/>
      <x:c r="V832" s="32"/>
      <x:c r="W832" s="32"/>
      <x:c r="X832" s="32"/>
      <x:c r="Y832" s="43" t="str">
        <x:f>IF(OR(X832="",X832="Pending"),"",IF(X832="Rejected",0,IF(AND(U832="Ya",V832="Ya",W832="Ya"),1,"")))</x:f>
      </x:c>
      <x:c r="AA832" s="32"/>
      <x:c r="AB832" s="32"/>
      <x:c r="AC832" s="32"/>
      <x:c r="AD832" s="32"/>
      <x:c r="AE832" s="32"/>
      <x:c r="AF832" s="32"/>
      <x:c r="AG832" s="33" t="str">
        <x:f>IF(OR(AE832="",AF832=""),"",IF(AE832="Positif",IF(AF832="Positif","TP","FN"),IF(AF832="Positif","FP","TN")))</x:f>
      </x:c>
    </x:row>
    <x:row r="833">
      <x:c r="A833" s="32"/>
      <x:c r="B833" s="32"/>
      <x:c r="C833" s="32"/>
      <x:c r="D833" s="35"/>
      <x:c r="E833" s="32"/>
      <x:c r="F833" s="32"/>
      <x:c r="G833" s="32"/>
      <x:c r="H833" s="32"/>
      <x:c r="I833" s="32"/>
      <x:c r="J833" s="32"/>
      <x:c r="K833" s="32"/>
      <x:c r="L833" s="32"/>
      <x:c r="M833" s="32"/>
      <x:c r="N833" s="37"/>
      <x:c r="O833" s="32"/>
      <x:c r="P833" s="40"/>
      <x:c r="Q833" s="40"/>
      <x:c r="R833" s="41" t="str">
        <x:f>IF(OR(P833="",Q833=""),"",P833-Q833)</x:f>
      </x:c>
      <x:c r="S833" s="32"/>
      <x:c r="T833" s="32"/>
      <x:c r="U833" s="32"/>
      <x:c r="V833" s="32"/>
      <x:c r="W833" s="32"/>
      <x:c r="X833" s="32"/>
      <x:c r="Y833" s="43" t="str">
        <x:f>IF(OR(X833="",X833="Pending"),"",IF(X833="Rejected",0,IF(AND(U833="Ya",V833="Ya",W833="Ya"),1,"")))</x:f>
      </x:c>
      <x:c r="AA833" s="32"/>
      <x:c r="AB833" s="32"/>
      <x:c r="AC833" s="32"/>
      <x:c r="AD833" s="32"/>
      <x:c r="AE833" s="32"/>
      <x:c r="AF833" s="32"/>
      <x:c r="AG833" s="33" t="str">
        <x:f>IF(OR(AE833="",AF833=""),"",IF(AE833="Positif",IF(AF833="Positif","TP","FN"),IF(AF833="Positif","FP","TN")))</x:f>
      </x:c>
    </x:row>
    <x:row r="834">
      <x:c r="A834" s="32"/>
      <x:c r="B834" s="32"/>
      <x:c r="C834" s="32"/>
      <x:c r="D834" s="35"/>
      <x:c r="E834" s="32"/>
      <x:c r="F834" s="32"/>
      <x:c r="G834" s="32"/>
      <x:c r="H834" s="32"/>
      <x:c r="I834" s="32"/>
      <x:c r="J834" s="32"/>
      <x:c r="K834" s="32"/>
      <x:c r="L834" s="32"/>
      <x:c r="M834" s="32"/>
      <x:c r="N834" s="37"/>
      <x:c r="O834" s="32"/>
      <x:c r="P834" s="40"/>
      <x:c r="Q834" s="40"/>
      <x:c r="R834" s="41" t="str">
        <x:f>IF(OR(P834="",Q834=""),"",P834-Q834)</x:f>
      </x:c>
      <x:c r="S834" s="32"/>
      <x:c r="T834" s="32"/>
      <x:c r="U834" s="32"/>
      <x:c r="V834" s="32"/>
      <x:c r="W834" s="32"/>
      <x:c r="X834" s="32"/>
      <x:c r="Y834" s="43" t="str">
        <x:f>IF(OR(X834="",X834="Pending"),"",IF(X834="Rejected",0,IF(AND(U834="Ya",V834="Ya",W834="Ya"),1,"")))</x:f>
      </x:c>
      <x:c r="AA834" s="32"/>
      <x:c r="AB834" s="32"/>
      <x:c r="AC834" s="32"/>
      <x:c r="AD834" s="32"/>
      <x:c r="AE834" s="32"/>
      <x:c r="AF834" s="32"/>
      <x:c r="AG834" s="33" t="str">
        <x:f>IF(OR(AE834="",AF834=""),"",IF(AE834="Positif",IF(AF834="Positif","TP","FN"),IF(AF834="Positif","FP","TN")))</x:f>
      </x:c>
    </x:row>
    <x:row r="835">
      <x:c r="A835" s="32"/>
      <x:c r="B835" s="32"/>
      <x:c r="C835" s="32"/>
      <x:c r="D835" s="35"/>
      <x:c r="E835" s="32"/>
      <x:c r="F835" s="32"/>
      <x:c r="G835" s="32"/>
      <x:c r="H835" s="32"/>
      <x:c r="I835" s="32"/>
      <x:c r="J835" s="32"/>
      <x:c r="K835" s="32"/>
      <x:c r="L835" s="32"/>
      <x:c r="M835" s="32"/>
      <x:c r="N835" s="37"/>
      <x:c r="O835" s="32"/>
      <x:c r="P835" s="40"/>
      <x:c r="Q835" s="40"/>
      <x:c r="R835" s="41" t="str">
        <x:f>IF(OR(P835="",Q835=""),"",P835-Q835)</x:f>
      </x:c>
      <x:c r="S835" s="32"/>
      <x:c r="T835" s="32"/>
      <x:c r="U835" s="32"/>
      <x:c r="V835" s="32"/>
      <x:c r="W835" s="32"/>
      <x:c r="X835" s="32"/>
      <x:c r="Y835" s="43" t="str">
        <x:f>IF(OR(X835="",X835="Pending"),"",IF(X835="Rejected",0,IF(AND(U835="Ya",V835="Ya",W835="Ya"),1,"")))</x:f>
      </x:c>
      <x:c r="AA835" s="32"/>
      <x:c r="AB835" s="32"/>
      <x:c r="AC835" s="32"/>
      <x:c r="AD835" s="32"/>
      <x:c r="AE835" s="32"/>
      <x:c r="AF835" s="32"/>
      <x:c r="AG835" s="33" t="str">
        <x:f>IF(OR(AE835="",AF835=""),"",IF(AE835="Positif",IF(AF835="Positif","TP","FN"),IF(AF835="Positif","FP","TN")))</x:f>
      </x:c>
    </x:row>
    <x:row r="836">
      <x:c r="A836" s="32"/>
      <x:c r="B836" s="32"/>
      <x:c r="C836" s="32"/>
      <x:c r="D836" s="35"/>
      <x:c r="E836" s="32"/>
      <x:c r="F836" s="32"/>
      <x:c r="G836" s="32"/>
      <x:c r="H836" s="32"/>
      <x:c r="I836" s="32"/>
      <x:c r="J836" s="32"/>
      <x:c r="K836" s="32"/>
      <x:c r="L836" s="32"/>
      <x:c r="M836" s="32"/>
      <x:c r="N836" s="37"/>
      <x:c r="O836" s="32"/>
      <x:c r="P836" s="40"/>
      <x:c r="Q836" s="40"/>
      <x:c r="R836" s="41" t="str">
        <x:f>IF(OR(P836="",Q836=""),"",P836-Q836)</x:f>
      </x:c>
      <x:c r="S836" s="32"/>
      <x:c r="T836" s="32"/>
      <x:c r="U836" s="32"/>
      <x:c r="V836" s="32"/>
      <x:c r="W836" s="32"/>
      <x:c r="X836" s="32"/>
      <x:c r="Y836" s="43" t="str">
        <x:f>IF(OR(X836="",X836="Pending"),"",IF(X836="Rejected",0,IF(AND(U836="Ya",V836="Ya",W836="Ya"),1,"")))</x:f>
      </x:c>
      <x:c r="AA836" s="32"/>
      <x:c r="AB836" s="32"/>
      <x:c r="AC836" s="32"/>
      <x:c r="AD836" s="32"/>
      <x:c r="AE836" s="32"/>
      <x:c r="AF836" s="32"/>
      <x:c r="AG836" s="33" t="str">
        <x:f>IF(OR(AE836="",AF836=""),"",IF(AE836="Positif",IF(AF836="Positif","TP","FN"),IF(AF836="Positif","FP","TN")))</x:f>
      </x:c>
    </x:row>
    <x:row r="837">
      <x:c r="A837" s="32"/>
      <x:c r="B837" s="32"/>
      <x:c r="C837" s="32"/>
      <x:c r="D837" s="35"/>
      <x:c r="E837" s="32"/>
      <x:c r="F837" s="32"/>
      <x:c r="G837" s="32"/>
      <x:c r="H837" s="32"/>
      <x:c r="I837" s="32"/>
      <x:c r="J837" s="32"/>
      <x:c r="K837" s="32"/>
      <x:c r="L837" s="32"/>
      <x:c r="M837" s="32"/>
      <x:c r="N837" s="37"/>
      <x:c r="O837" s="32"/>
      <x:c r="P837" s="40"/>
      <x:c r="Q837" s="40"/>
      <x:c r="R837" s="41" t="str">
        <x:f>IF(OR(P837="",Q837=""),"",P837-Q837)</x:f>
      </x:c>
      <x:c r="S837" s="32"/>
      <x:c r="T837" s="32"/>
      <x:c r="U837" s="32"/>
      <x:c r="V837" s="32"/>
      <x:c r="W837" s="32"/>
      <x:c r="X837" s="32"/>
      <x:c r="Y837" s="43" t="str">
        <x:f>IF(OR(X837="",X837="Pending"),"",IF(X837="Rejected",0,IF(AND(U837="Ya",V837="Ya",W837="Ya"),1,"")))</x:f>
      </x:c>
      <x:c r="AA837" s="32"/>
      <x:c r="AB837" s="32"/>
      <x:c r="AC837" s="32"/>
      <x:c r="AD837" s="32"/>
      <x:c r="AE837" s="32"/>
      <x:c r="AF837" s="32"/>
      <x:c r="AG837" s="33" t="str">
        <x:f>IF(OR(AE837="",AF837=""),"",IF(AE837="Positif",IF(AF837="Positif","TP","FN"),IF(AF837="Positif","FP","TN")))</x:f>
      </x:c>
    </x:row>
    <x:row r="838">
      <x:c r="A838" s="32"/>
      <x:c r="B838" s="32"/>
      <x:c r="C838" s="32"/>
      <x:c r="D838" s="35"/>
      <x:c r="E838" s="32"/>
      <x:c r="F838" s="32"/>
      <x:c r="G838" s="32"/>
      <x:c r="H838" s="32"/>
      <x:c r="I838" s="32"/>
      <x:c r="J838" s="32"/>
      <x:c r="K838" s="32"/>
      <x:c r="L838" s="32"/>
      <x:c r="M838" s="32"/>
      <x:c r="N838" s="37"/>
      <x:c r="O838" s="32"/>
      <x:c r="P838" s="40"/>
      <x:c r="Q838" s="40"/>
      <x:c r="R838" s="41" t="str">
        <x:f>IF(OR(P838="",Q838=""),"",P838-Q838)</x:f>
      </x:c>
      <x:c r="S838" s="32"/>
      <x:c r="T838" s="32"/>
      <x:c r="U838" s="32"/>
      <x:c r="V838" s="32"/>
      <x:c r="W838" s="32"/>
      <x:c r="X838" s="32"/>
      <x:c r="Y838" s="43" t="str">
        <x:f>IF(OR(X838="",X838="Pending"),"",IF(X838="Rejected",0,IF(AND(U838="Ya",V838="Ya",W838="Ya"),1,"")))</x:f>
      </x:c>
      <x:c r="AA838" s="32"/>
      <x:c r="AB838" s="32"/>
      <x:c r="AC838" s="32"/>
      <x:c r="AD838" s="32"/>
      <x:c r="AE838" s="32"/>
      <x:c r="AF838" s="32"/>
      <x:c r="AG838" s="33" t="str">
        <x:f>IF(OR(AE838="",AF838=""),"",IF(AE838="Positif",IF(AF838="Positif","TP","FN"),IF(AF838="Positif","FP","TN")))</x:f>
      </x:c>
    </x:row>
    <x:row r="839">
      <x:c r="A839" s="32"/>
      <x:c r="B839" s="32"/>
      <x:c r="C839" s="32"/>
      <x:c r="D839" s="35"/>
      <x:c r="E839" s="32"/>
      <x:c r="F839" s="32"/>
      <x:c r="G839" s="32"/>
      <x:c r="H839" s="32"/>
      <x:c r="I839" s="32"/>
      <x:c r="J839" s="32"/>
      <x:c r="K839" s="32"/>
      <x:c r="L839" s="32"/>
      <x:c r="M839" s="32"/>
      <x:c r="N839" s="37"/>
      <x:c r="O839" s="32"/>
      <x:c r="P839" s="40"/>
      <x:c r="Q839" s="40"/>
      <x:c r="R839" s="41" t="str">
        <x:f>IF(OR(P839="",Q839=""),"",P839-Q839)</x:f>
      </x:c>
      <x:c r="S839" s="32"/>
      <x:c r="T839" s="32"/>
      <x:c r="U839" s="32"/>
      <x:c r="V839" s="32"/>
      <x:c r="W839" s="32"/>
      <x:c r="X839" s="32"/>
      <x:c r="Y839" s="43" t="str">
        <x:f>IF(OR(X839="",X839="Pending"),"",IF(X839="Rejected",0,IF(AND(U839="Ya",V839="Ya",W839="Ya"),1,"")))</x:f>
      </x:c>
      <x:c r="AA839" s="32"/>
      <x:c r="AB839" s="32"/>
      <x:c r="AC839" s="32"/>
      <x:c r="AD839" s="32"/>
      <x:c r="AE839" s="32"/>
      <x:c r="AF839" s="32"/>
      <x:c r="AG839" s="33" t="str">
        <x:f>IF(OR(AE839="",AF839=""),"",IF(AE839="Positif",IF(AF839="Positif","TP","FN"),IF(AF839="Positif","FP","TN")))</x:f>
      </x:c>
    </x:row>
    <x:row r="840">
      <x:c r="A840" s="32"/>
      <x:c r="B840" s="32"/>
      <x:c r="C840" s="32"/>
      <x:c r="D840" s="35"/>
      <x:c r="E840" s="32"/>
      <x:c r="F840" s="32"/>
      <x:c r="G840" s="32"/>
      <x:c r="H840" s="32"/>
      <x:c r="I840" s="32"/>
      <x:c r="J840" s="32"/>
      <x:c r="K840" s="32"/>
      <x:c r="L840" s="32"/>
      <x:c r="M840" s="32"/>
      <x:c r="N840" s="37"/>
      <x:c r="O840" s="32"/>
      <x:c r="P840" s="40"/>
      <x:c r="Q840" s="40"/>
      <x:c r="R840" s="41" t="str">
        <x:f>IF(OR(P840="",Q840=""),"",P840-Q840)</x:f>
      </x:c>
      <x:c r="S840" s="32"/>
      <x:c r="T840" s="32"/>
      <x:c r="U840" s="32"/>
      <x:c r="V840" s="32"/>
      <x:c r="W840" s="32"/>
      <x:c r="X840" s="32"/>
      <x:c r="Y840" s="43" t="str">
        <x:f>IF(OR(X840="",X840="Pending"),"",IF(X840="Rejected",0,IF(AND(U840="Ya",V840="Ya",W840="Ya"),1,"")))</x:f>
      </x:c>
      <x:c r="AA840" s="32"/>
      <x:c r="AB840" s="32"/>
      <x:c r="AC840" s="32"/>
      <x:c r="AD840" s="32"/>
      <x:c r="AE840" s="32"/>
      <x:c r="AF840" s="32"/>
      <x:c r="AG840" s="33" t="str">
        <x:f>IF(OR(AE840="",AF840=""),"",IF(AE840="Positif",IF(AF840="Positif","TP","FN"),IF(AF840="Positif","FP","TN")))</x:f>
      </x:c>
    </x:row>
    <x:row r="841">
      <x:c r="A841" s="32"/>
      <x:c r="B841" s="32"/>
      <x:c r="C841" s="32"/>
      <x:c r="D841" s="35"/>
      <x:c r="E841" s="32"/>
      <x:c r="F841" s="32"/>
      <x:c r="G841" s="32"/>
      <x:c r="H841" s="32"/>
      <x:c r="I841" s="32"/>
      <x:c r="J841" s="32"/>
      <x:c r="K841" s="32"/>
      <x:c r="L841" s="32"/>
      <x:c r="M841" s="32"/>
      <x:c r="N841" s="37"/>
      <x:c r="O841" s="32"/>
      <x:c r="P841" s="40"/>
      <x:c r="Q841" s="40"/>
      <x:c r="R841" s="41" t="str">
        <x:f>IF(OR(P841="",Q841=""),"",P841-Q841)</x:f>
      </x:c>
      <x:c r="S841" s="32"/>
      <x:c r="T841" s="32"/>
      <x:c r="U841" s="32"/>
      <x:c r="V841" s="32"/>
      <x:c r="W841" s="32"/>
      <x:c r="X841" s="32"/>
      <x:c r="Y841" s="43" t="str">
        <x:f>IF(OR(X841="",X841="Pending"),"",IF(X841="Rejected",0,IF(AND(U841="Ya",V841="Ya",W841="Ya"),1,"")))</x:f>
      </x:c>
      <x:c r="AA841" s="32"/>
      <x:c r="AB841" s="32"/>
      <x:c r="AC841" s="32"/>
      <x:c r="AD841" s="32"/>
      <x:c r="AE841" s="32"/>
      <x:c r="AF841" s="32"/>
      <x:c r="AG841" s="33" t="str">
        <x:f>IF(OR(AE841="",AF841=""),"",IF(AE841="Positif",IF(AF841="Positif","TP","FN"),IF(AF841="Positif","FP","TN")))</x:f>
      </x:c>
    </x:row>
    <x:row r="842">
      <x:c r="A842" s="32"/>
      <x:c r="B842" s="32"/>
      <x:c r="C842" s="32"/>
      <x:c r="D842" s="35"/>
      <x:c r="E842" s="32"/>
      <x:c r="F842" s="32"/>
      <x:c r="G842" s="32"/>
      <x:c r="H842" s="32"/>
      <x:c r="I842" s="32"/>
      <x:c r="J842" s="32"/>
      <x:c r="K842" s="32"/>
      <x:c r="L842" s="32"/>
      <x:c r="M842" s="32"/>
      <x:c r="N842" s="37"/>
      <x:c r="O842" s="32"/>
      <x:c r="P842" s="40"/>
      <x:c r="Q842" s="40"/>
      <x:c r="R842" s="41" t="str">
        <x:f>IF(OR(P842="",Q842=""),"",P842-Q842)</x:f>
      </x:c>
      <x:c r="S842" s="32"/>
      <x:c r="T842" s="32"/>
      <x:c r="U842" s="32"/>
      <x:c r="V842" s="32"/>
      <x:c r="W842" s="32"/>
      <x:c r="X842" s="32"/>
      <x:c r="Y842" s="43" t="str">
        <x:f>IF(OR(X842="",X842="Pending"),"",IF(X842="Rejected",0,IF(AND(U842="Ya",V842="Ya",W842="Ya"),1,"")))</x:f>
      </x:c>
      <x:c r="AA842" s="32"/>
      <x:c r="AB842" s="32"/>
      <x:c r="AC842" s="32"/>
      <x:c r="AD842" s="32"/>
      <x:c r="AE842" s="32"/>
      <x:c r="AF842" s="32"/>
      <x:c r="AG842" s="33" t="str">
        <x:f>IF(OR(AE842="",AF842=""),"",IF(AE842="Positif",IF(AF842="Positif","TP","FN"),IF(AF842="Positif","FP","TN")))</x:f>
      </x:c>
    </x:row>
    <x:row r="843">
      <x:c r="A843" s="32"/>
      <x:c r="B843" s="32"/>
      <x:c r="C843" s="32"/>
      <x:c r="D843" s="35"/>
      <x:c r="E843" s="32"/>
      <x:c r="F843" s="32"/>
      <x:c r="G843" s="32"/>
      <x:c r="H843" s="32"/>
      <x:c r="I843" s="32"/>
      <x:c r="J843" s="32"/>
      <x:c r="K843" s="32"/>
      <x:c r="L843" s="32"/>
      <x:c r="M843" s="32"/>
      <x:c r="N843" s="37"/>
      <x:c r="O843" s="32"/>
      <x:c r="P843" s="40"/>
      <x:c r="Q843" s="40"/>
      <x:c r="R843" s="41" t="str">
        <x:f>IF(OR(P843="",Q843=""),"",P843-Q843)</x:f>
      </x:c>
      <x:c r="S843" s="32"/>
      <x:c r="T843" s="32"/>
      <x:c r="U843" s="32"/>
      <x:c r="V843" s="32"/>
      <x:c r="W843" s="32"/>
      <x:c r="X843" s="32"/>
      <x:c r="Y843" s="43" t="str">
        <x:f>IF(OR(X843="",X843="Pending"),"",IF(X843="Rejected",0,IF(AND(U843="Ya",V843="Ya",W843="Ya"),1,"")))</x:f>
      </x:c>
      <x:c r="AA843" s="32"/>
      <x:c r="AB843" s="32"/>
      <x:c r="AC843" s="32"/>
      <x:c r="AD843" s="32"/>
      <x:c r="AE843" s="32"/>
      <x:c r="AF843" s="32"/>
      <x:c r="AG843" s="33" t="str">
        <x:f>IF(OR(AE843="",AF843=""),"",IF(AE843="Positif",IF(AF843="Positif","TP","FN"),IF(AF843="Positif","FP","TN")))</x:f>
      </x:c>
    </x:row>
    <x:row r="844">
      <x:c r="A844" s="32"/>
      <x:c r="B844" s="32"/>
      <x:c r="C844" s="32"/>
      <x:c r="D844" s="35"/>
      <x:c r="E844" s="32"/>
      <x:c r="F844" s="32"/>
      <x:c r="G844" s="32"/>
      <x:c r="H844" s="32"/>
      <x:c r="I844" s="32"/>
      <x:c r="J844" s="32"/>
      <x:c r="K844" s="32"/>
      <x:c r="L844" s="32"/>
      <x:c r="M844" s="32"/>
      <x:c r="N844" s="37"/>
      <x:c r="O844" s="32"/>
      <x:c r="P844" s="40"/>
      <x:c r="Q844" s="40"/>
      <x:c r="R844" s="41" t="str">
        <x:f>IF(OR(P844="",Q844=""),"",P844-Q844)</x:f>
      </x:c>
      <x:c r="S844" s="32"/>
      <x:c r="T844" s="32"/>
      <x:c r="U844" s="32"/>
      <x:c r="V844" s="32"/>
      <x:c r="W844" s="32"/>
      <x:c r="X844" s="32"/>
      <x:c r="Y844" s="43" t="str">
        <x:f>IF(OR(X844="",X844="Pending"),"",IF(X844="Rejected",0,IF(AND(U844="Ya",V844="Ya",W844="Ya"),1,"")))</x:f>
      </x:c>
      <x:c r="AA844" s="32"/>
      <x:c r="AB844" s="32"/>
      <x:c r="AC844" s="32"/>
      <x:c r="AD844" s="32"/>
      <x:c r="AE844" s="32"/>
      <x:c r="AF844" s="32"/>
      <x:c r="AG844" s="33" t="str">
        <x:f>IF(OR(AE844="",AF844=""),"",IF(AE844="Positif",IF(AF844="Positif","TP","FN"),IF(AF844="Positif","FP","TN")))</x:f>
      </x:c>
    </x:row>
    <x:row r="845">
      <x:c r="A845" s="32"/>
      <x:c r="B845" s="32"/>
      <x:c r="C845" s="32"/>
      <x:c r="D845" s="35"/>
      <x:c r="E845" s="32"/>
      <x:c r="F845" s="32"/>
      <x:c r="G845" s="32"/>
      <x:c r="H845" s="32"/>
      <x:c r="I845" s="32"/>
      <x:c r="J845" s="32"/>
      <x:c r="K845" s="32"/>
      <x:c r="L845" s="32"/>
      <x:c r="M845" s="32"/>
      <x:c r="N845" s="37"/>
      <x:c r="O845" s="32"/>
      <x:c r="P845" s="40"/>
      <x:c r="Q845" s="40"/>
      <x:c r="R845" s="41" t="str">
        <x:f>IF(OR(P845="",Q845=""),"",P845-Q845)</x:f>
      </x:c>
      <x:c r="S845" s="32"/>
      <x:c r="T845" s="32"/>
      <x:c r="U845" s="32"/>
      <x:c r="V845" s="32"/>
      <x:c r="W845" s="32"/>
      <x:c r="X845" s="32"/>
      <x:c r="Y845" s="43" t="str">
        <x:f>IF(OR(X845="",X845="Pending"),"",IF(X845="Rejected",0,IF(AND(U845="Ya",V845="Ya",W845="Ya"),1,"")))</x:f>
      </x:c>
      <x:c r="AA845" s="32"/>
      <x:c r="AB845" s="32"/>
      <x:c r="AC845" s="32"/>
      <x:c r="AD845" s="32"/>
      <x:c r="AE845" s="32"/>
      <x:c r="AF845" s="32"/>
      <x:c r="AG845" s="33" t="str">
        <x:f>IF(OR(AE845="",AF845=""),"",IF(AE845="Positif",IF(AF845="Positif","TP","FN"),IF(AF845="Positif","FP","TN")))</x:f>
      </x:c>
    </x:row>
    <x:row r="846">
      <x:c r="A846" s="32"/>
      <x:c r="B846" s="32"/>
      <x:c r="C846" s="32"/>
      <x:c r="D846" s="35"/>
      <x:c r="E846" s="32"/>
      <x:c r="F846" s="32"/>
      <x:c r="G846" s="32"/>
      <x:c r="H846" s="32"/>
      <x:c r="I846" s="32"/>
      <x:c r="J846" s="32"/>
      <x:c r="K846" s="32"/>
      <x:c r="L846" s="32"/>
      <x:c r="M846" s="32"/>
      <x:c r="N846" s="37"/>
      <x:c r="O846" s="32"/>
      <x:c r="P846" s="40"/>
      <x:c r="Q846" s="40"/>
      <x:c r="R846" s="41" t="str">
        <x:f>IF(OR(P846="",Q846=""),"",P846-Q846)</x:f>
      </x:c>
      <x:c r="S846" s="32"/>
      <x:c r="T846" s="32"/>
      <x:c r="U846" s="32"/>
      <x:c r="V846" s="32"/>
      <x:c r="W846" s="32"/>
      <x:c r="X846" s="32"/>
      <x:c r="Y846" s="43" t="str">
        <x:f>IF(OR(X846="",X846="Pending"),"",IF(X846="Rejected",0,IF(AND(U846="Ya",V846="Ya",W846="Ya"),1,"")))</x:f>
      </x:c>
      <x:c r="AA846" s="32"/>
      <x:c r="AB846" s="32"/>
      <x:c r="AC846" s="32"/>
      <x:c r="AD846" s="32"/>
      <x:c r="AE846" s="32"/>
      <x:c r="AF846" s="32"/>
      <x:c r="AG846" s="33" t="str">
        <x:f>IF(OR(AE846="",AF846=""),"",IF(AE846="Positif",IF(AF846="Positif","TP","FN"),IF(AF846="Positif","FP","TN")))</x:f>
      </x:c>
    </x:row>
    <x:row r="847">
      <x:c r="A847" s="32"/>
      <x:c r="B847" s="32"/>
      <x:c r="C847" s="32"/>
      <x:c r="D847" s="35"/>
      <x:c r="E847" s="32"/>
      <x:c r="F847" s="32"/>
      <x:c r="G847" s="32"/>
      <x:c r="H847" s="32"/>
      <x:c r="I847" s="32"/>
      <x:c r="J847" s="32"/>
      <x:c r="K847" s="32"/>
      <x:c r="L847" s="32"/>
      <x:c r="M847" s="32"/>
      <x:c r="N847" s="37"/>
      <x:c r="O847" s="32"/>
      <x:c r="P847" s="40"/>
      <x:c r="Q847" s="40"/>
      <x:c r="R847" s="41" t="str">
        <x:f>IF(OR(P847="",Q847=""),"",P847-Q847)</x:f>
      </x:c>
      <x:c r="S847" s="32"/>
      <x:c r="T847" s="32"/>
      <x:c r="U847" s="32"/>
      <x:c r="V847" s="32"/>
      <x:c r="W847" s="32"/>
      <x:c r="X847" s="32"/>
      <x:c r="Y847" s="43" t="str">
        <x:f>IF(OR(X847="",X847="Pending"),"",IF(X847="Rejected",0,IF(AND(U847="Ya",V847="Ya",W847="Ya"),1,"")))</x:f>
      </x:c>
      <x:c r="AA847" s="32"/>
      <x:c r="AB847" s="32"/>
      <x:c r="AC847" s="32"/>
      <x:c r="AD847" s="32"/>
      <x:c r="AE847" s="32"/>
      <x:c r="AF847" s="32"/>
      <x:c r="AG847" s="33" t="str">
        <x:f>IF(OR(AE847="",AF847=""),"",IF(AE847="Positif",IF(AF847="Positif","TP","FN"),IF(AF847="Positif","FP","TN")))</x:f>
      </x:c>
    </x:row>
    <x:row r="848">
      <x:c r="A848" s="32"/>
      <x:c r="B848" s="32"/>
      <x:c r="C848" s="32"/>
      <x:c r="D848" s="35"/>
      <x:c r="E848" s="32"/>
      <x:c r="F848" s="32"/>
      <x:c r="G848" s="32"/>
      <x:c r="H848" s="32"/>
      <x:c r="I848" s="32"/>
      <x:c r="J848" s="32"/>
      <x:c r="K848" s="32"/>
      <x:c r="L848" s="32"/>
      <x:c r="M848" s="32"/>
      <x:c r="N848" s="37"/>
      <x:c r="O848" s="32"/>
      <x:c r="P848" s="40"/>
      <x:c r="Q848" s="40"/>
      <x:c r="R848" s="41" t="str">
        <x:f>IF(OR(P848="",Q848=""),"",P848-Q848)</x:f>
      </x:c>
      <x:c r="S848" s="32"/>
      <x:c r="T848" s="32"/>
      <x:c r="U848" s="32"/>
      <x:c r="V848" s="32"/>
      <x:c r="W848" s="32"/>
      <x:c r="X848" s="32"/>
      <x:c r="Y848" s="43" t="str">
        <x:f>IF(OR(X848="",X848="Pending"),"",IF(X848="Rejected",0,IF(AND(U848="Ya",V848="Ya",W848="Ya"),1,"")))</x:f>
      </x:c>
      <x:c r="AA848" s="32"/>
      <x:c r="AB848" s="32"/>
      <x:c r="AC848" s="32"/>
      <x:c r="AD848" s="32"/>
      <x:c r="AE848" s="32"/>
      <x:c r="AF848" s="32"/>
      <x:c r="AG848" s="33" t="str">
        <x:f>IF(OR(AE848="",AF848=""),"",IF(AE848="Positif",IF(AF848="Positif","TP","FN"),IF(AF848="Positif","FP","TN")))</x:f>
      </x:c>
    </x:row>
    <x:row r="849">
      <x:c r="A849" s="32"/>
      <x:c r="B849" s="32"/>
      <x:c r="C849" s="32"/>
      <x:c r="D849" s="35"/>
      <x:c r="E849" s="32"/>
      <x:c r="F849" s="32"/>
      <x:c r="G849" s="32"/>
      <x:c r="H849" s="32"/>
      <x:c r="I849" s="32"/>
      <x:c r="J849" s="32"/>
      <x:c r="K849" s="32"/>
      <x:c r="L849" s="32"/>
      <x:c r="M849" s="32"/>
      <x:c r="N849" s="37"/>
      <x:c r="O849" s="32"/>
      <x:c r="P849" s="40"/>
      <x:c r="Q849" s="40"/>
      <x:c r="R849" s="41" t="str">
        <x:f>IF(OR(P849="",Q849=""),"",P849-Q849)</x:f>
      </x:c>
      <x:c r="S849" s="32"/>
      <x:c r="T849" s="32"/>
      <x:c r="U849" s="32"/>
      <x:c r="V849" s="32"/>
      <x:c r="W849" s="32"/>
      <x:c r="X849" s="32"/>
      <x:c r="Y849" s="43" t="str">
        <x:f>IF(OR(X849="",X849="Pending"),"",IF(X849="Rejected",0,IF(AND(U849="Ya",V849="Ya",W849="Ya"),1,"")))</x:f>
      </x:c>
      <x:c r="AA849" s="32"/>
      <x:c r="AB849" s="32"/>
      <x:c r="AC849" s="32"/>
      <x:c r="AD849" s="32"/>
      <x:c r="AE849" s="32"/>
      <x:c r="AF849" s="32"/>
      <x:c r="AG849" s="33" t="str">
        <x:f>IF(OR(AE849="",AF849=""),"",IF(AE849="Positif",IF(AF849="Positif","TP","FN"),IF(AF849="Positif","FP","TN")))</x:f>
      </x:c>
    </x:row>
    <x:row r="850">
      <x:c r="A850" s="32"/>
      <x:c r="B850" s="32"/>
      <x:c r="C850" s="32"/>
      <x:c r="D850" s="35"/>
      <x:c r="E850" s="32"/>
      <x:c r="F850" s="32"/>
      <x:c r="G850" s="32"/>
      <x:c r="H850" s="32"/>
      <x:c r="I850" s="32"/>
      <x:c r="J850" s="32"/>
      <x:c r="K850" s="32"/>
      <x:c r="L850" s="32"/>
      <x:c r="M850" s="32"/>
      <x:c r="N850" s="37"/>
      <x:c r="O850" s="32"/>
      <x:c r="P850" s="40"/>
      <x:c r="Q850" s="40"/>
      <x:c r="R850" s="41" t="str">
        <x:f>IF(OR(P850="",Q850=""),"",P850-Q850)</x:f>
      </x:c>
      <x:c r="S850" s="32"/>
      <x:c r="T850" s="32"/>
      <x:c r="U850" s="32"/>
      <x:c r="V850" s="32"/>
      <x:c r="W850" s="32"/>
      <x:c r="X850" s="32"/>
      <x:c r="Y850" s="43" t="str">
        <x:f>IF(OR(X850="",X850="Pending"),"",IF(X850="Rejected",0,IF(AND(U850="Ya",V850="Ya",W850="Ya"),1,"")))</x:f>
      </x:c>
      <x:c r="AA850" s="32"/>
      <x:c r="AB850" s="32"/>
      <x:c r="AC850" s="32"/>
      <x:c r="AD850" s="32"/>
      <x:c r="AE850" s="32"/>
      <x:c r="AF850" s="32"/>
      <x:c r="AG850" s="33" t="str">
        <x:f>IF(OR(AE850="",AF850=""),"",IF(AE850="Positif",IF(AF850="Positif","TP","FN"),IF(AF850="Positif","FP","TN")))</x:f>
      </x:c>
    </x:row>
    <x:row r="851">
      <x:c r="A851" s="32"/>
      <x:c r="B851" s="32"/>
      <x:c r="C851" s="32"/>
      <x:c r="D851" s="35"/>
      <x:c r="E851" s="32"/>
      <x:c r="F851" s="32"/>
      <x:c r="G851" s="32"/>
      <x:c r="H851" s="32"/>
      <x:c r="I851" s="32"/>
      <x:c r="J851" s="32"/>
      <x:c r="K851" s="32"/>
      <x:c r="L851" s="32"/>
      <x:c r="M851" s="32"/>
      <x:c r="N851" s="37"/>
      <x:c r="O851" s="32"/>
      <x:c r="P851" s="40"/>
      <x:c r="Q851" s="40"/>
      <x:c r="R851" s="41" t="str">
        <x:f>IF(OR(P851="",Q851=""),"",P851-Q851)</x:f>
      </x:c>
      <x:c r="S851" s="32"/>
      <x:c r="T851" s="32"/>
      <x:c r="U851" s="32"/>
      <x:c r="V851" s="32"/>
      <x:c r="W851" s="32"/>
      <x:c r="X851" s="32"/>
      <x:c r="Y851" s="43" t="str">
        <x:f>IF(OR(X851="",X851="Pending"),"",IF(X851="Rejected",0,IF(AND(U851="Ya",V851="Ya",W851="Ya"),1,"")))</x:f>
      </x:c>
      <x:c r="AA851" s="32"/>
      <x:c r="AB851" s="32"/>
      <x:c r="AC851" s="32"/>
      <x:c r="AD851" s="32"/>
      <x:c r="AE851" s="32"/>
      <x:c r="AF851" s="32"/>
      <x:c r="AG851" s="33" t="str">
        <x:f>IF(OR(AE851="",AF851=""),"",IF(AE851="Positif",IF(AF851="Positif","TP","FN"),IF(AF851="Positif","FP","TN")))</x:f>
      </x:c>
    </x:row>
    <x:row r="852">
      <x:c r="A852" s="32"/>
      <x:c r="B852" s="32"/>
      <x:c r="C852" s="32"/>
      <x:c r="D852" s="35"/>
      <x:c r="E852" s="32"/>
      <x:c r="F852" s="32"/>
      <x:c r="G852" s="32"/>
      <x:c r="H852" s="32"/>
      <x:c r="I852" s="32"/>
      <x:c r="J852" s="32"/>
      <x:c r="K852" s="32"/>
      <x:c r="L852" s="32"/>
      <x:c r="M852" s="32"/>
      <x:c r="N852" s="37"/>
      <x:c r="O852" s="32"/>
      <x:c r="P852" s="40"/>
      <x:c r="Q852" s="40"/>
      <x:c r="R852" s="41" t="str">
        <x:f>IF(OR(P852="",Q852=""),"",P852-Q852)</x:f>
      </x:c>
      <x:c r="S852" s="32"/>
      <x:c r="T852" s="32"/>
      <x:c r="U852" s="32"/>
      <x:c r="V852" s="32"/>
      <x:c r="W852" s="32"/>
      <x:c r="X852" s="32"/>
      <x:c r="Y852" s="43" t="str">
        <x:f>IF(OR(X852="",X852="Pending"),"",IF(X852="Rejected",0,IF(AND(U852="Ya",V852="Ya",W852="Ya"),1,"")))</x:f>
      </x:c>
      <x:c r="AA852" s="32"/>
      <x:c r="AB852" s="32"/>
      <x:c r="AC852" s="32"/>
      <x:c r="AD852" s="32"/>
      <x:c r="AE852" s="32"/>
      <x:c r="AF852" s="32"/>
      <x:c r="AG852" s="33" t="str">
        <x:f>IF(OR(AE852="",AF852=""),"",IF(AE852="Positif",IF(AF852="Positif","TP","FN"),IF(AF852="Positif","FP","TN")))</x:f>
      </x:c>
    </x:row>
    <x:row r="853">
      <x:c r="A853" s="32"/>
      <x:c r="B853" s="32"/>
      <x:c r="C853" s="32"/>
      <x:c r="D853" s="35"/>
      <x:c r="E853" s="32"/>
      <x:c r="F853" s="32"/>
      <x:c r="G853" s="32"/>
      <x:c r="H853" s="32"/>
      <x:c r="I853" s="32"/>
      <x:c r="J853" s="32"/>
      <x:c r="K853" s="32"/>
      <x:c r="L853" s="32"/>
      <x:c r="M853" s="32"/>
      <x:c r="N853" s="37"/>
      <x:c r="O853" s="32"/>
      <x:c r="P853" s="40"/>
      <x:c r="Q853" s="40"/>
      <x:c r="R853" s="41" t="str">
        <x:f>IF(OR(P853="",Q853=""),"",P853-Q853)</x:f>
      </x:c>
      <x:c r="S853" s="32"/>
      <x:c r="T853" s="32"/>
      <x:c r="U853" s="32"/>
      <x:c r="V853" s="32"/>
      <x:c r="W853" s="32"/>
      <x:c r="X853" s="32"/>
      <x:c r="Y853" s="43" t="str">
        <x:f>IF(OR(X853="",X853="Pending"),"",IF(X853="Rejected",0,IF(AND(U853="Ya",V853="Ya",W853="Ya"),1,"")))</x:f>
      </x:c>
      <x:c r="AA853" s="32"/>
      <x:c r="AB853" s="32"/>
      <x:c r="AC853" s="32"/>
      <x:c r="AD853" s="32"/>
      <x:c r="AE853" s="32"/>
      <x:c r="AF853" s="32"/>
      <x:c r="AG853" s="33" t="str">
        <x:f>IF(OR(AE853="",AF853=""),"",IF(AE853="Positif",IF(AF853="Positif","TP","FN"),IF(AF853="Positif","FP","TN")))</x:f>
      </x:c>
    </x:row>
    <x:row r="854">
      <x:c r="A854" s="32"/>
      <x:c r="B854" s="32"/>
      <x:c r="C854" s="32"/>
      <x:c r="D854" s="35"/>
      <x:c r="E854" s="32"/>
      <x:c r="F854" s="32"/>
      <x:c r="G854" s="32"/>
      <x:c r="H854" s="32"/>
      <x:c r="I854" s="32"/>
      <x:c r="J854" s="32"/>
      <x:c r="K854" s="32"/>
      <x:c r="L854" s="32"/>
      <x:c r="M854" s="32"/>
      <x:c r="N854" s="37"/>
      <x:c r="O854" s="32"/>
      <x:c r="P854" s="40"/>
      <x:c r="Q854" s="40"/>
      <x:c r="R854" s="41" t="str">
        <x:f>IF(OR(P854="",Q854=""),"",P854-Q854)</x:f>
      </x:c>
      <x:c r="S854" s="32"/>
      <x:c r="T854" s="32"/>
      <x:c r="U854" s="32"/>
      <x:c r="V854" s="32"/>
      <x:c r="W854" s="32"/>
      <x:c r="X854" s="32"/>
      <x:c r="Y854" s="43" t="str">
        <x:f>IF(OR(X854="",X854="Pending"),"",IF(X854="Rejected",0,IF(AND(U854="Ya",V854="Ya",W854="Ya"),1,"")))</x:f>
      </x:c>
      <x:c r="AA854" s="32"/>
      <x:c r="AB854" s="32"/>
      <x:c r="AC854" s="32"/>
      <x:c r="AD854" s="32"/>
      <x:c r="AE854" s="32"/>
      <x:c r="AF854" s="32"/>
      <x:c r="AG854" s="33" t="str">
        <x:f>IF(OR(AE854="",AF854=""),"",IF(AE854="Positif",IF(AF854="Positif","TP","FN"),IF(AF854="Positif","FP","TN")))</x:f>
      </x:c>
    </x:row>
    <x:row r="855">
      <x:c r="A855" s="32"/>
      <x:c r="B855" s="32"/>
      <x:c r="C855" s="32"/>
      <x:c r="D855" s="35"/>
      <x:c r="E855" s="32"/>
      <x:c r="F855" s="32"/>
      <x:c r="G855" s="32"/>
      <x:c r="H855" s="32"/>
      <x:c r="I855" s="32"/>
      <x:c r="J855" s="32"/>
      <x:c r="K855" s="32"/>
      <x:c r="L855" s="32"/>
      <x:c r="M855" s="32"/>
      <x:c r="N855" s="37"/>
      <x:c r="O855" s="32"/>
      <x:c r="P855" s="40"/>
      <x:c r="Q855" s="40"/>
      <x:c r="R855" s="41" t="str">
        <x:f>IF(OR(P855="",Q855=""),"",P855-Q855)</x:f>
      </x:c>
      <x:c r="S855" s="32"/>
      <x:c r="T855" s="32"/>
      <x:c r="U855" s="32"/>
      <x:c r="V855" s="32"/>
      <x:c r="W855" s="32"/>
      <x:c r="X855" s="32"/>
      <x:c r="Y855" s="43" t="str">
        <x:f>IF(OR(X855="",X855="Pending"),"",IF(X855="Rejected",0,IF(AND(U855="Ya",V855="Ya",W855="Ya"),1,"")))</x:f>
      </x:c>
      <x:c r="AA855" s="32"/>
      <x:c r="AB855" s="32"/>
      <x:c r="AC855" s="32"/>
      <x:c r="AD855" s="32"/>
      <x:c r="AE855" s="32"/>
      <x:c r="AF855" s="32"/>
      <x:c r="AG855" s="33" t="str">
        <x:f>IF(OR(AE855="",AF855=""),"",IF(AE855="Positif",IF(AF855="Positif","TP","FN"),IF(AF855="Positif","FP","TN")))</x:f>
      </x:c>
    </x:row>
    <x:row r="856">
      <x:c r="A856" s="32"/>
      <x:c r="B856" s="32"/>
      <x:c r="C856" s="32"/>
      <x:c r="D856" s="35"/>
      <x:c r="E856" s="32"/>
      <x:c r="F856" s="32"/>
      <x:c r="G856" s="32"/>
      <x:c r="H856" s="32"/>
      <x:c r="I856" s="32"/>
      <x:c r="J856" s="32"/>
      <x:c r="K856" s="32"/>
      <x:c r="L856" s="32"/>
      <x:c r="M856" s="32"/>
      <x:c r="N856" s="37"/>
      <x:c r="O856" s="32"/>
      <x:c r="P856" s="40"/>
      <x:c r="Q856" s="40"/>
      <x:c r="R856" s="41" t="str">
        <x:f>IF(OR(P856="",Q856=""),"",P856-Q856)</x:f>
      </x:c>
      <x:c r="S856" s="32"/>
      <x:c r="T856" s="32"/>
      <x:c r="U856" s="32"/>
      <x:c r="V856" s="32"/>
      <x:c r="W856" s="32"/>
      <x:c r="X856" s="32"/>
      <x:c r="Y856" s="43" t="str">
        <x:f>IF(OR(X856="",X856="Pending"),"",IF(X856="Rejected",0,IF(AND(U856="Ya",V856="Ya",W856="Ya"),1,"")))</x:f>
      </x:c>
      <x:c r="AA856" s="32"/>
      <x:c r="AB856" s="32"/>
      <x:c r="AC856" s="32"/>
      <x:c r="AD856" s="32"/>
      <x:c r="AE856" s="32"/>
      <x:c r="AF856" s="32"/>
      <x:c r="AG856" s="33" t="str">
        <x:f>IF(OR(AE856="",AF856=""),"",IF(AE856="Positif",IF(AF856="Positif","TP","FN"),IF(AF856="Positif","FP","TN")))</x:f>
      </x:c>
    </x:row>
    <x:row r="857">
      <x:c r="A857" s="32"/>
      <x:c r="B857" s="32"/>
      <x:c r="C857" s="32"/>
      <x:c r="D857" s="35"/>
      <x:c r="E857" s="32"/>
      <x:c r="F857" s="32"/>
      <x:c r="G857" s="32"/>
      <x:c r="H857" s="32"/>
      <x:c r="I857" s="32"/>
      <x:c r="J857" s="32"/>
      <x:c r="K857" s="32"/>
      <x:c r="L857" s="32"/>
      <x:c r="M857" s="32"/>
      <x:c r="N857" s="37"/>
      <x:c r="O857" s="32"/>
      <x:c r="P857" s="40"/>
      <x:c r="Q857" s="40"/>
      <x:c r="R857" s="41" t="str">
        <x:f>IF(OR(P857="",Q857=""),"",P857-Q857)</x:f>
      </x:c>
      <x:c r="S857" s="32"/>
      <x:c r="T857" s="32"/>
      <x:c r="U857" s="32"/>
      <x:c r="V857" s="32"/>
      <x:c r="W857" s="32"/>
      <x:c r="X857" s="32"/>
      <x:c r="Y857" s="43" t="str">
        <x:f>IF(OR(X857="",X857="Pending"),"",IF(X857="Rejected",0,IF(AND(U857="Ya",V857="Ya",W857="Ya"),1,"")))</x:f>
      </x:c>
      <x:c r="AA857" s="32"/>
      <x:c r="AB857" s="32"/>
      <x:c r="AC857" s="32"/>
      <x:c r="AD857" s="32"/>
      <x:c r="AE857" s="32"/>
      <x:c r="AF857" s="32"/>
      <x:c r="AG857" s="33" t="str">
        <x:f>IF(OR(AE857="",AF857=""),"",IF(AE857="Positif",IF(AF857="Positif","TP","FN"),IF(AF857="Positif","FP","TN")))</x:f>
      </x:c>
    </x:row>
    <x:row r="858">
      <x:c r="A858" s="32"/>
      <x:c r="B858" s="32"/>
      <x:c r="C858" s="32"/>
      <x:c r="D858" s="35"/>
      <x:c r="E858" s="32"/>
      <x:c r="F858" s="32"/>
      <x:c r="G858" s="32"/>
      <x:c r="H858" s="32"/>
      <x:c r="I858" s="32"/>
      <x:c r="J858" s="32"/>
      <x:c r="K858" s="32"/>
      <x:c r="L858" s="32"/>
      <x:c r="M858" s="32"/>
      <x:c r="N858" s="37"/>
      <x:c r="O858" s="32"/>
      <x:c r="P858" s="40"/>
      <x:c r="Q858" s="40"/>
      <x:c r="R858" s="41" t="str">
        <x:f>IF(OR(P858="",Q858=""),"",P858-Q858)</x:f>
      </x:c>
      <x:c r="S858" s="32"/>
      <x:c r="T858" s="32"/>
      <x:c r="U858" s="32"/>
      <x:c r="V858" s="32"/>
      <x:c r="W858" s="32"/>
      <x:c r="X858" s="32"/>
      <x:c r="Y858" s="43" t="str">
        <x:f>IF(OR(X858="",X858="Pending"),"",IF(X858="Rejected",0,IF(AND(U858="Ya",V858="Ya",W858="Ya"),1,"")))</x:f>
      </x:c>
      <x:c r="AA858" s="32"/>
      <x:c r="AB858" s="32"/>
      <x:c r="AC858" s="32"/>
      <x:c r="AD858" s="32"/>
      <x:c r="AE858" s="32"/>
      <x:c r="AF858" s="32"/>
      <x:c r="AG858" s="33" t="str">
        <x:f>IF(OR(AE858="",AF858=""),"",IF(AE858="Positif",IF(AF858="Positif","TP","FN"),IF(AF858="Positif","FP","TN")))</x:f>
      </x:c>
    </x:row>
    <x:row r="859">
      <x:c r="A859" s="32"/>
      <x:c r="B859" s="32"/>
      <x:c r="C859" s="32"/>
      <x:c r="D859" s="35"/>
      <x:c r="E859" s="32"/>
      <x:c r="F859" s="32"/>
      <x:c r="G859" s="32"/>
      <x:c r="H859" s="32"/>
      <x:c r="I859" s="32"/>
      <x:c r="J859" s="32"/>
      <x:c r="K859" s="32"/>
      <x:c r="L859" s="32"/>
      <x:c r="M859" s="32"/>
      <x:c r="N859" s="37"/>
      <x:c r="O859" s="32"/>
      <x:c r="P859" s="40"/>
      <x:c r="Q859" s="40"/>
      <x:c r="R859" s="41" t="str">
        <x:f>IF(OR(P859="",Q859=""),"",P859-Q859)</x:f>
      </x:c>
      <x:c r="S859" s="32"/>
      <x:c r="T859" s="32"/>
      <x:c r="U859" s="32"/>
      <x:c r="V859" s="32"/>
      <x:c r="W859" s="32"/>
      <x:c r="X859" s="32"/>
      <x:c r="Y859" s="43" t="str">
        <x:f>IF(OR(X859="",X859="Pending"),"",IF(X859="Rejected",0,IF(AND(U859="Ya",V859="Ya",W859="Ya"),1,"")))</x:f>
      </x:c>
      <x:c r="AA859" s="32"/>
      <x:c r="AB859" s="32"/>
      <x:c r="AC859" s="32"/>
      <x:c r="AD859" s="32"/>
      <x:c r="AE859" s="32"/>
      <x:c r="AF859" s="32"/>
      <x:c r="AG859" s="33" t="str">
        <x:f>IF(OR(AE859="",AF859=""),"",IF(AE859="Positif",IF(AF859="Positif","TP","FN"),IF(AF859="Positif","FP","TN")))</x:f>
      </x:c>
    </x:row>
    <x:row r="860">
      <x:c r="A860" s="32"/>
      <x:c r="B860" s="32"/>
      <x:c r="C860" s="32"/>
      <x:c r="D860" s="35"/>
      <x:c r="E860" s="32"/>
      <x:c r="F860" s="32"/>
      <x:c r="G860" s="32"/>
      <x:c r="H860" s="32"/>
      <x:c r="I860" s="32"/>
      <x:c r="J860" s="32"/>
      <x:c r="K860" s="32"/>
      <x:c r="L860" s="32"/>
      <x:c r="M860" s="32"/>
      <x:c r="N860" s="37"/>
      <x:c r="O860" s="32"/>
      <x:c r="P860" s="40"/>
      <x:c r="Q860" s="40"/>
      <x:c r="R860" s="41" t="str">
        <x:f>IF(OR(P860="",Q860=""),"",P860-Q860)</x:f>
      </x:c>
      <x:c r="S860" s="32"/>
      <x:c r="T860" s="32"/>
      <x:c r="U860" s="32"/>
      <x:c r="V860" s="32"/>
      <x:c r="W860" s="32"/>
      <x:c r="X860" s="32"/>
      <x:c r="Y860" s="43" t="str">
        <x:f>IF(OR(X860="",X860="Pending"),"",IF(X860="Rejected",0,IF(AND(U860="Ya",V860="Ya",W860="Ya"),1,"")))</x:f>
      </x:c>
      <x:c r="AA860" s="32"/>
      <x:c r="AB860" s="32"/>
      <x:c r="AC860" s="32"/>
      <x:c r="AD860" s="32"/>
      <x:c r="AE860" s="32"/>
      <x:c r="AF860" s="32"/>
      <x:c r="AG860" s="33" t="str">
        <x:f>IF(OR(AE860="",AF860=""),"",IF(AE860="Positif",IF(AF860="Positif","TP","FN"),IF(AF860="Positif","FP","TN")))</x:f>
      </x:c>
    </x:row>
    <x:row r="861">
      <x:c r="A861" s="32"/>
      <x:c r="B861" s="32"/>
      <x:c r="C861" s="32"/>
      <x:c r="D861" s="35"/>
      <x:c r="E861" s="32"/>
      <x:c r="F861" s="32"/>
      <x:c r="G861" s="32"/>
      <x:c r="H861" s="32"/>
      <x:c r="I861" s="32"/>
      <x:c r="J861" s="32"/>
      <x:c r="K861" s="32"/>
      <x:c r="L861" s="32"/>
      <x:c r="M861" s="32"/>
      <x:c r="N861" s="37"/>
      <x:c r="O861" s="32"/>
      <x:c r="P861" s="40"/>
      <x:c r="Q861" s="40"/>
      <x:c r="R861" s="41" t="str">
        <x:f>IF(OR(P861="",Q861=""),"",P861-Q861)</x:f>
      </x:c>
      <x:c r="S861" s="32"/>
      <x:c r="T861" s="32"/>
      <x:c r="U861" s="32"/>
      <x:c r="V861" s="32"/>
      <x:c r="W861" s="32"/>
      <x:c r="X861" s="32"/>
      <x:c r="Y861" s="43" t="str">
        <x:f>IF(OR(X861="",X861="Pending"),"",IF(X861="Rejected",0,IF(AND(U861="Ya",V861="Ya",W861="Ya"),1,"")))</x:f>
      </x:c>
      <x:c r="AA861" s="32"/>
      <x:c r="AB861" s="32"/>
      <x:c r="AC861" s="32"/>
      <x:c r="AD861" s="32"/>
      <x:c r="AE861" s="32"/>
      <x:c r="AF861" s="32"/>
      <x:c r="AG861" s="33" t="str">
        <x:f>IF(OR(AE861="",AF861=""),"",IF(AE861="Positif",IF(AF861="Positif","TP","FN"),IF(AF861="Positif","FP","TN")))</x:f>
      </x:c>
    </x:row>
    <x:row r="862">
      <x:c r="A862" s="32"/>
      <x:c r="B862" s="32"/>
      <x:c r="C862" s="32"/>
      <x:c r="D862" s="35"/>
      <x:c r="E862" s="32"/>
      <x:c r="F862" s="32"/>
      <x:c r="G862" s="32"/>
      <x:c r="H862" s="32"/>
      <x:c r="I862" s="32"/>
      <x:c r="J862" s="32"/>
      <x:c r="K862" s="32"/>
      <x:c r="L862" s="32"/>
      <x:c r="M862" s="32"/>
      <x:c r="N862" s="37"/>
      <x:c r="O862" s="32"/>
      <x:c r="P862" s="40"/>
      <x:c r="Q862" s="40"/>
      <x:c r="R862" s="41" t="str">
        <x:f>IF(OR(P862="",Q862=""),"",P862-Q862)</x:f>
      </x:c>
      <x:c r="S862" s="32"/>
      <x:c r="T862" s="32"/>
      <x:c r="U862" s="32"/>
      <x:c r="V862" s="32"/>
      <x:c r="W862" s="32"/>
      <x:c r="X862" s="32"/>
      <x:c r="Y862" s="43" t="str">
        <x:f>IF(OR(X862="",X862="Pending"),"",IF(X862="Rejected",0,IF(AND(U862="Ya",V862="Ya",W862="Ya"),1,"")))</x:f>
      </x:c>
      <x:c r="AA862" s="32"/>
      <x:c r="AB862" s="32"/>
      <x:c r="AC862" s="32"/>
      <x:c r="AD862" s="32"/>
      <x:c r="AE862" s="32"/>
      <x:c r="AF862" s="32"/>
      <x:c r="AG862" s="33" t="str">
        <x:f>IF(OR(AE862="",AF862=""),"",IF(AE862="Positif",IF(AF862="Positif","TP","FN"),IF(AF862="Positif","FP","TN")))</x:f>
      </x:c>
    </x:row>
    <x:row r="863">
      <x:c r="A863" s="32"/>
      <x:c r="B863" s="32"/>
      <x:c r="C863" s="32"/>
      <x:c r="D863" s="35"/>
      <x:c r="E863" s="32"/>
      <x:c r="F863" s="32"/>
      <x:c r="G863" s="32"/>
      <x:c r="H863" s="32"/>
      <x:c r="I863" s="32"/>
      <x:c r="J863" s="32"/>
      <x:c r="K863" s="32"/>
      <x:c r="L863" s="32"/>
      <x:c r="M863" s="32"/>
      <x:c r="N863" s="37"/>
      <x:c r="O863" s="32"/>
      <x:c r="P863" s="40"/>
      <x:c r="Q863" s="40"/>
      <x:c r="R863" s="41" t="str">
        <x:f>IF(OR(P863="",Q863=""),"",P863-Q863)</x:f>
      </x:c>
      <x:c r="S863" s="32"/>
      <x:c r="T863" s="32"/>
      <x:c r="U863" s="32"/>
      <x:c r="V863" s="32"/>
      <x:c r="W863" s="32"/>
      <x:c r="X863" s="32"/>
      <x:c r="Y863" s="43" t="str">
        <x:f>IF(OR(X863="",X863="Pending"),"",IF(X863="Rejected",0,IF(AND(U863="Ya",V863="Ya",W863="Ya"),1,"")))</x:f>
      </x:c>
      <x:c r="AA863" s="32"/>
      <x:c r="AB863" s="32"/>
      <x:c r="AC863" s="32"/>
      <x:c r="AD863" s="32"/>
      <x:c r="AE863" s="32"/>
      <x:c r="AF863" s="32"/>
      <x:c r="AG863" s="33" t="str">
        <x:f>IF(OR(AE863="",AF863=""),"",IF(AE863="Positif",IF(AF863="Positif","TP","FN"),IF(AF863="Positif","FP","TN")))</x:f>
      </x:c>
    </x:row>
    <x:row r="864">
      <x:c r="A864" s="32"/>
      <x:c r="B864" s="32"/>
      <x:c r="C864" s="32"/>
      <x:c r="D864" s="35"/>
      <x:c r="E864" s="32"/>
      <x:c r="F864" s="32"/>
      <x:c r="G864" s="32"/>
      <x:c r="H864" s="32"/>
      <x:c r="I864" s="32"/>
      <x:c r="J864" s="32"/>
      <x:c r="K864" s="32"/>
      <x:c r="L864" s="32"/>
      <x:c r="M864" s="32"/>
      <x:c r="N864" s="37"/>
      <x:c r="O864" s="32"/>
      <x:c r="P864" s="40"/>
      <x:c r="Q864" s="40"/>
      <x:c r="R864" s="41" t="str">
        <x:f>IF(OR(P864="",Q864=""),"",P864-Q864)</x:f>
      </x:c>
      <x:c r="S864" s="32"/>
      <x:c r="T864" s="32"/>
      <x:c r="U864" s="32"/>
      <x:c r="V864" s="32"/>
      <x:c r="W864" s="32"/>
      <x:c r="X864" s="32"/>
      <x:c r="Y864" s="43" t="str">
        <x:f>IF(OR(X864="",X864="Pending"),"",IF(X864="Rejected",0,IF(AND(U864="Ya",V864="Ya",W864="Ya"),1,"")))</x:f>
      </x:c>
      <x:c r="AA864" s="32"/>
      <x:c r="AB864" s="32"/>
      <x:c r="AC864" s="32"/>
      <x:c r="AD864" s="32"/>
      <x:c r="AE864" s="32"/>
      <x:c r="AF864" s="32"/>
      <x:c r="AG864" s="33" t="str">
        <x:f>IF(OR(AE864="",AF864=""),"",IF(AE864="Positif",IF(AF864="Positif","TP","FN"),IF(AF864="Positif","FP","TN")))</x:f>
      </x:c>
    </x:row>
    <x:row r="865">
      <x:c r="A865" s="32"/>
      <x:c r="B865" s="32"/>
      <x:c r="C865" s="32"/>
      <x:c r="D865" s="35"/>
      <x:c r="E865" s="32"/>
      <x:c r="F865" s="32"/>
      <x:c r="G865" s="32"/>
      <x:c r="H865" s="32"/>
      <x:c r="I865" s="32"/>
      <x:c r="J865" s="32"/>
      <x:c r="K865" s="32"/>
      <x:c r="L865" s="32"/>
      <x:c r="M865" s="32"/>
      <x:c r="N865" s="37"/>
      <x:c r="O865" s="32"/>
      <x:c r="P865" s="40"/>
      <x:c r="Q865" s="40"/>
      <x:c r="R865" s="41" t="str">
        <x:f>IF(OR(P865="",Q865=""),"",P865-Q865)</x:f>
      </x:c>
      <x:c r="S865" s="32"/>
      <x:c r="T865" s="32"/>
      <x:c r="U865" s="32"/>
      <x:c r="V865" s="32"/>
      <x:c r="W865" s="32"/>
      <x:c r="X865" s="32"/>
      <x:c r="Y865" s="43" t="str">
        <x:f>IF(OR(X865="",X865="Pending"),"",IF(X865="Rejected",0,IF(AND(U865="Ya",V865="Ya",W865="Ya"),1,"")))</x:f>
      </x:c>
      <x:c r="AA865" s="32"/>
      <x:c r="AB865" s="32"/>
      <x:c r="AC865" s="32"/>
      <x:c r="AD865" s="32"/>
      <x:c r="AE865" s="32"/>
      <x:c r="AF865" s="32"/>
      <x:c r="AG865" s="33" t="str">
        <x:f>IF(OR(AE865="",AF865=""),"",IF(AE865="Positif",IF(AF865="Positif","TP","FN"),IF(AF865="Positif","FP","TN")))</x:f>
      </x:c>
    </x:row>
    <x:row r="866">
      <x:c r="A866" s="32"/>
      <x:c r="B866" s="32"/>
      <x:c r="C866" s="32"/>
      <x:c r="D866" s="35"/>
      <x:c r="E866" s="32"/>
      <x:c r="F866" s="32"/>
      <x:c r="G866" s="32"/>
      <x:c r="H866" s="32"/>
      <x:c r="I866" s="32"/>
      <x:c r="J866" s="32"/>
      <x:c r="K866" s="32"/>
      <x:c r="L866" s="32"/>
      <x:c r="M866" s="32"/>
      <x:c r="N866" s="37"/>
      <x:c r="O866" s="32"/>
      <x:c r="P866" s="40"/>
      <x:c r="Q866" s="40"/>
      <x:c r="R866" s="41" t="str">
        <x:f>IF(OR(P866="",Q866=""),"",P866-Q866)</x:f>
      </x:c>
      <x:c r="S866" s="32"/>
      <x:c r="T866" s="32"/>
      <x:c r="U866" s="32"/>
      <x:c r="V866" s="32"/>
      <x:c r="W866" s="32"/>
      <x:c r="X866" s="32"/>
      <x:c r="Y866" s="43" t="str">
        <x:f>IF(OR(X866="",X866="Pending"),"",IF(X866="Rejected",0,IF(AND(U866="Ya",V866="Ya",W866="Ya"),1,"")))</x:f>
      </x:c>
      <x:c r="AA866" s="32"/>
      <x:c r="AB866" s="32"/>
      <x:c r="AC866" s="32"/>
      <x:c r="AD866" s="32"/>
      <x:c r="AE866" s="32"/>
      <x:c r="AF866" s="32"/>
      <x:c r="AG866" s="33" t="str">
        <x:f>IF(OR(AE866="",AF866=""),"",IF(AE866="Positif",IF(AF866="Positif","TP","FN"),IF(AF866="Positif","FP","TN")))</x:f>
      </x:c>
    </x:row>
    <x:row r="867">
      <x:c r="A867" s="32"/>
      <x:c r="B867" s="32"/>
      <x:c r="C867" s="32"/>
      <x:c r="D867" s="35"/>
      <x:c r="E867" s="32"/>
      <x:c r="F867" s="32"/>
      <x:c r="G867" s="32"/>
      <x:c r="H867" s="32"/>
      <x:c r="I867" s="32"/>
      <x:c r="J867" s="32"/>
      <x:c r="K867" s="32"/>
      <x:c r="L867" s="32"/>
      <x:c r="M867" s="32"/>
      <x:c r="N867" s="37"/>
      <x:c r="O867" s="32"/>
      <x:c r="P867" s="40"/>
      <x:c r="Q867" s="40"/>
      <x:c r="R867" s="41" t="str">
        <x:f>IF(OR(P867="",Q867=""),"",P867-Q867)</x:f>
      </x:c>
      <x:c r="S867" s="32"/>
      <x:c r="T867" s="32"/>
      <x:c r="U867" s="32"/>
      <x:c r="V867" s="32"/>
      <x:c r="W867" s="32"/>
      <x:c r="X867" s="32"/>
      <x:c r="Y867" s="43" t="str">
        <x:f>IF(OR(X867="",X867="Pending"),"",IF(X867="Rejected",0,IF(AND(U867="Ya",V867="Ya",W867="Ya"),1,"")))</x:f>
      </x:c>
      <x:c r="AA867" s="32"/>
      <x:c r="AB867" s="32"/>
      <x:c r="AC867" s="32"/>
      <x:c r="AD867" s="32"/>
      <x:c r="AE867" s="32"/>
      <x:c r="AF867" s="32"/>
      <x:c r="AG867" s="33" t="str">
        <x:f>IF(OR(AE867="",AF867=""),"",IF(AE867="Positif",IF(AF867="Positif","TP","FN"),IF(AF867="Positif","FP","TN")))</x:f>
      </x:c>
    </x:row>
    <x:row r="868">
      <x:c r="A868" s="32"/>
      <x:c r="B868" s="32"/>
      <x:c r="C868" s="32"/>
      <x:c r="D868" s="35"/>
      <x:c r="E868" s="32"/>
      <x:c r="F868" s="32"/>
      <x:c r="G868" s="32"/>
      <x:c r="H868" s="32"/>
      <x:c r="I868" s="32"/>
      <x:c r="J868" s="32"/>
      <x:c r="K868" s="32"/>
      <x:c r="L868" s="32"/>
      <x:c r="M868" s="32"/>
      <x:c r="N868" s="37"/>
      <x:c r="O868" s="32"/>
      <x:c r="P868" s="40"/>
      <x:c r="Q868" s="40"/>
      <x:c r="R868" s="41" t="str">
        <x:f>IF(OR(P868="",Q868=""),"",P868-Q868)</x:f>
      </x:c>
      <x:c r="S868" s="32"/>
      <x:c r="T868" s="32"/>
      <x:c r="U868" s="32"/>
      <x:c r="V868" s="32"/>
      <x:c r="W868" s="32"/>
      <x:c r="X868" s="32"/>
      <x:c r="Y868" s="43" t="str">
        <x:f>IF(OR(X868="",X868="Pending"),"",IF(X868="Rejected",0,IF(AND(U868="Ya",V868="Ya",W868="Ya"),1,"")))</x:f>
      </x:c>
      <x:c r="AA868" s="32"/>
      <x:c r="AB868" s="32"/>
      <x:c r="AC868" s="32"/>
      <x:c r="AD868" s="32"/>
      <x:c r="AE868" s="32"/>
      <x:c r="AF868" s="32"/>
      <x:c r="AG868" s="33" t="str">
        <x:f>IF(OR(AE868="",AF868=""),"",IF(AE868="Positif",IF(AF868="Positif","TP","FN"),IF(AF868="Positif","FP","TN")))</x:f>
      </x:c>
    </x:row>
    <x:row r="869">
      <x:c r="A869" s="32"/>
      <x:c r="B869" s="32"/>
      <x:c r="C869" s="32"/>
      <x:c r="D869" s="35"/>
      <x:c r="E869" s="32"/>
      <x:c r="F869" s="32"/>
      <x:c r="G869" s="32"/>
      <x:c r="H869" s="32"/>
      <x:c r="I869" s="32"/>
      <x:c r="J869" s="32"/>
      <x:c r="K869" s="32"/>
      <x:c r="L869" s="32"/>
      <x:c r="M869" s="32"/>
      <x:c r="N869" s="37"/>
      <x:c r="O869" s="32"/>
      <x:c r="P869" s="40"/>
      <x:c r="Q869" s="40"/>
      <x:c r="R869" s="41" t="str">
        <x:f>IF(OR(P869="",Q869=""),"",P869-Q869)</x:f>
      </x:c>
      <x:c r="S869" s="32"/>
      <x:c r="T869" s="32"/>
      <x:c r="U869" s="32"/>
      <x:c r="V869" s="32"/>
      <x:c r="W869" s="32"/>
      <x:c r="X869" s="32"/>
      <x:c r="Y869" s="43" t="str">
        <x:f>IF(OR(X869="",X869="Pending"),"",IF(X869="Rejected",0,IF(AND(U869="Ya",V869="Ya",W869="Ya"),1,"")))</x:f>
      </x:c>
      <x:c r="AA869" s="32"/>
      <x:c r="AB869" s="32"/>
      <x:c r="AC869" s="32"/>
      <x:c r="AD869" s="32"/>
      <x:c r="AE869" s="32"/>
      <x:c r="AF869" s="32"/>
      <x:c r="AG869" s="33" t="str">
        <x:f>IF(OR(AE869="",AF869=""),"",IF(AE869="Positif",IF(AF869="Positif","TP","FN"),IF(AF869="Positif","FP","TN")))</x:f>
      </x:c>
    </x:row>
    <x:row r="870">
      <x:c r="A870" s="32"/>
      <x:c r="B870" s="32"/>
      <x:c r="C870" s="32"/>
      <x:c r="D870" s="35"/>
      <x:c r="E870" s="32"/>
      <x:c r="F870" s="32"/>
      <x:c r="G870" s="32"/>
      <x:c r="H870" s="32"/>
      <x:c r="I870" s="32"/>
      <x:c r="J870" s="32"/>
      <x:c r="K870" s="32"/>
      <x:c r="L870" s="32"/>
      <x:c r="M870" s="32"/>
      <x:c r="N870" s="37"/>
      <x:c r="O870" s="32"/>
      <x:c r="P870" s="40"/>
      <x:c r="Q870" s="40"/>
      <x:c r="R870" s="41" t="str">
        <x:f>IF(OR(P870="",Q870=""),"",P870-Q870)</x:f>
      </x:c>
      <x:c r="S870" s="32"/>
      <x:c r="T870" s="32"/>
      <x:c r="U870" s="32"/>
      <x:c r="V870" s="32"/>
      <x:c r="W870" s="32"/>
      <x:c r="X870" s="32"/>
      <x:c r="Y870" s="43" t="str">
        <x:f>IF(OR(X870="",X870="Pending"),"",IF(X870="Rejected",0,IF(AND(U870="Ya",V870="Ya",W870="Ya"),1,"")))</x:f>
      </x:c>
      <x:c r="AA870" s="32"/>
      <x:c r="AB870" s="32"/>
      <x:c r="AC870" s="32"/>
      <x:c r="AD870" s="32"/>
      <x:c r="AE870" s="32"/>
      <x:c r="AF870" s="32"/>
      <x:c r="AG870" s="33" t="str">
        <x:f>IF(OR(AE870="",AF870=""),"",IF(AE870="Positif",IF(AF870="Positif","TP","FN"),IF(AF870="Positif","FP","TN")))</x:f>
      </x:c>
    </x:row>
    <x:row r="871">
      <x:c r="A871" s="32"/>
      <x:c r="B871" s="32"/>
      <x:c r="C871" s="32"/>
      <x:c r="D871" s="35"/>
      <x:c r="E871" s="32"/>
      <x:c r="F871" s="32"/>
      <x:c r="G871" s="32"/>
      <x:c r="H871" s="32"/>
      <x:c r="I871" s="32"/>
      <x:c r="J871" s="32"/>
      <x:c r="K871" s="32"/>
      <x:c r="L871" s="32"/>
      <x:c r="M871" s="32"/>
      <x:c r="N871" s="37"/>
      <x:c r="O871" s="32"/>
      <x:c r="P871" s="40"/>
      <x:c r="Q871" s="40"/>
      <x:c r="R871" s="41" t="str">
        <x:f>IF(OR(P871="",Q871=""),"",P871-Q871)</x:f>
      </x:c>
      <x:c r="S871" s="32"/>
      <x:c r="T871" s="32"/>
      <x:c r="U871" s="32"/>
      <x:c r="V871" s="32"/>
      <x:c r="W871" s="32"/>
      <x:c r="X871" s="32"/>
      <x:c r="Y871" s="43" t="str">
        <x:f>IF(OR(X871="",X871="Pending"),"",IF(X871="Rejected",0,IF(AND(U871="Ya",V871="Ya",W871="Ya"),1,"")))</x:f>
      </x:c>
      <x:c r="AA871" s="32"/>
      <x:c r="AB871" s="32"/>
      <x:c r="AC871" s="32"/>
      <x:c r="AD871" s="32"/>
      <x:c r="AE871" s="32"/>
      <x:c r="AF871" s="32"/>
      <x:c r="AG871" s="33" t="str">
        <x:f>IF(OR(AE871="",AF871=""),"",IF(AE871="Positif",IF(AF871="Positif","TP","FN"),IF(AF871="Positif","FP","TN")))</x:f>
      </x:c>
    </x:row>
    <x:row r="872">
      <x:c r="A872" s="32"/>
      <x:c r="B872" s="32"/>
      <x:c r="C872" s="32"/>
      <x:c r="D872" s="35"/>
      <x:c r="E872" s="32"/>
      <x:c r="F872" s="32"/>
      <x:c r="G872" s="32"/>
      <x:c r="H872" s="32"/>
      <x:c r="I872" s="32"/>
      <x:c r="J872" s="32"/>
      <x:c r="K872" s="32"/>
      <x:c r="L872" s="32"/>
      <x:c r="M872" s="32"/>
      <x:c r="N872" s="37"/>
      <x:c r="O872" s="32"/>
      <x:c r="P872" s="40"/>
      <x:c r="Q872" s="40"/>
      <x:c r="R872" s="41" t="str">
        <x:f>IF(OR(P872="",Q872=""),"",P872-Q872)</x:f>
      </x:c>
      <x:c r="S872" s="32"/>
      <x:c r="T872" s="32"/>
      <x:c r="U872" s="32"/>
      <x:c r="V872" s="32"/>
      <x:c r="W872" s="32"/>
      <x:c r="X872" s="32"/>
      <x:c r="Y872" s="43" t="str">
        <x:f>IF(OR(X872="",X872="Pending"),"",IF(X872="Rejected",0,IF(AND(U872="Ya",V872="Ya",W872="Ya"),1,"")))</x:f>
      </x:c>
      <x:c r="AA872" s="32"/>
      <x:c r="AB872" s="32"/>
      <x:c r="AC872" s="32"/>
      <x:c r="AD872" s="32"/>
      <x:c r="AE872" s="32"/>
      <x:c r="AF872" s="32"/>
      <x:c r="AG872" s="33" t="str">
        <x:f>IF(OR(AE872="",AF872=""),"",IF(AE872="Positif",IF(AF872="Positif","TP","FN"),IF(AF872="Positif","FP","TN")))</x:f>
      </x:c>
    </x:row>
    <x:row r="873">
      <x:c r="A873" s="32"/>
      <x:c r="B873" s="32"/>
      <x:c r="C873" s="32"/>
      <x:c r="D873" s="35"/>
      <x:c r="E873" s="32"/>
      <x:c r="F873" s="32"/>
      <x:c r="G873" s="32"/>
      <x:c r="H873" s="32"/>
      <x:c r="I873" s="32"/>
      <x:c r="J873" s="32"/>
      <x:c r="K873" s="32"/>
      <x:c r="L873" s="32"/>
      <x:c r="M873" s="32"/>
      <x:c r="N873" s="37"/>
      <x:c r="O873" s="32"/>
      <x:c r="P873" s="40"/>
      <x:c r="Q873" s="40"/>
      <x:c r="R873" s="41" t="str">
        <x:f>IF(OR(P873="",Q873=""),"",P873-Q873)</x:f>
      </x:c>
      <x:c r="S873" s="32"/>
      <x:c r="T873" s="32"/>
      <x:c r="U873" s="32"/>
      <x:c r="V873" s="32"/>
      <x:c r="W873" s="32"/>
      <x:c r="X873" s="32"/>
      <x:c r="Y873" s="43" t="str">
        <x:f>IF(OR(X873="",X873="Pending"),"",IF(X873="Rejected",0,IF(AND(U873="Ya",V873="Ya",W873="Ya"),1,"")))</x:f>
      </x:c>
      <x:c r="AA873" s="32"/>
      <x:c r="AB873" s="32"/>
      <x:c r="AC873" s="32"/>
      <x:c r="AD873" s="32"/>
      <x:c r="AE873" s="32"/>
      <x:c r="AF873" s="32"/>
      <x:c r="AG873" s="33" t="str">
        <x:f>IF(OR(AE873="",AF873=""),"",IF(AE873="Positif",IF(AF873="Positif","TP","FN"),IF(AF873="Positif","FP","TN")))</x:f>
      </x:c>
    </x:row>
    <x:row r="874">
      <x:c r="A874" s="32"/>
      <x:c r="B874" s="32"/>
      <x:c r="C874" s="32"/>
      <x:c r="D874" s="35"/>
      <x:c r="E874" s="32"/>
      <x:c r="F874" s="32"/>
      <x:c r="G874" s="32"/>
      <x:c r="H874" s="32"/>
      <x:c r="I874" s="32"/>
      <x:c r="J874" s="32"/>
      <x:c r="K874" s="32"/>
      <x:c r="L874" s="32"/>
      <x:c r="M874" s="32"/>
      <x:c r="N874" s="37"/>
      <x:c r="O874" s="32"/>
      <x:c r="P874" s="40"/>
      <x:c r="Q874" s="40"/>
      <x:c r="R874" s="41" t="str">
        <x:f>IF(OR(P874="",Q874=""),"",P874-Q874)</x:f>
      </x:c>
      <x:c r="S874" s="32"/>
      <x:c r="T874" s="32"/>
      <x:c r="U874" s="32"/>
      <x:c r="V874" s="32"/>
      <x:c r="W874" s="32"/>
      <x:c r="X874" s="32"/>
      <x:c r="Y874" s="43" t="str">
        <x:f>IF(OR(X874="",X874="Pending"),"",IF(X874="Rejected",0,IF(AND(U874="Ya",V874="Ya",W874="Ya"),1,"")))</x:f>
      </x:c>
      <x:c r="AA874" s="32"/>
      <x:c r="AB874" s="32"/>
      <x:c r="AC874" s="32"/>
      <x:c r="AD874" s="32"/>
      <x:c r="AE874" s="32"/>
      <x:c r="AF874" s="32"/>
      <x:c r="AG874" s="33" t="str">
        <x:f>IF(OR(AE874="",AF874=""),"",IF(AE874="Positif",IF(AF874="Positif","TP","FN"),IF(AF874="Positif","FP","TN")))</x:f>
      </x:c>
    </x:row>
    <x:row r="875">
      <x:c r="A875" s="32"/>
      <x:c r="B875" s="32"/>
      <x:c r="C875" s="32"/>
      <x:c r="D875" s="35"/>
      <x:c r="E875" s="32"/>
      <x:c r="F875" s="32"/>
      <x:c r="G875" s="32"/>
      <x:c r="H875" s="32"/>
      <x:c r="I875" s="32"/>
      <x:c r="J875" s="32"/>
      <x:c r="K875" s="32"/>
      <x:c r="L875" s="32"/>
      <x:c r="M875" s="32"/>
      <x:c r="N875" s="37"/>
      <x:c r="O875" s="32"/>
      <x:c r="P875" s="40"/>
      <x:c r="Q875" s="40"/>
      <x:c r="R875" s="41" t="str">
        <x:f>IF(OR(P875="",Q875=""),"",P875-Q875)</x:f>
      </x:c>
      <x:c r="S875" s="32"/>
      <x:c r="T875" s="32"/>
      <x:c r="U875" s="32"/>
      <x:c r="V875" s="32"/>
      <x:c r="W875" s="32"/>
      <x:c r="X875" s="32"/>
      <x:c r="Y875" s="43" t="str">
        <x:f>IF(OR(X875="",X875="Pending"),"",IF(X875="Rejected",0,IF(AND(U875="Ya",V875="Ya",W875="Ya"),1,"")))</x:f>
      </x:c>
      <x:c r="AA875" s="32"/>
      <x:c r="AB875" s="32"/>
      <x:c r="AC875" s="32"/>
      <x:c r="AD875" s="32"/>
      <x:c r="AE875" s="32"/>
      <x:c r="AF875" s="32"/>
      <x:c r="AG875" s="33" t="str">
        <x:f>IF(OR(AE875="",AF875=""),"",IF(AE875="Positif",IF(AF875="Positif","TP","FN"),IF(AF875="Positif","FP","TN")))</x:f>
      </x:c>
    </x:row>
    <x:row r="876">
      <x:c r="A876" s="32"/>
      <x:c r="B876" s="32"/>
      <x:c r="C876" s="32"/>
      <x:c r="D876" s="35"/>
      <x:c r="E876" s="32"/>
      <x:c r="F876" s="32"/>
      <x:c r="G876" s="32"/>
      <x:c r="H876" s="32"/>
      <x:c r="I876" s="32"/>
      <x:c r="J876" s="32"/>
      <x:c r="K876" s="32"/>
      <x:c r="L876" s="32"/>
      <x:c r="M876" s="32"/>
      <x:c r="N876" s="37"/>
      <x:c r="O876" s="32"/>
      <x:c r="P876" s="40"/>
      <x:c r="Q876" s="40"/>
      <x:c r="R876" s="41" t="str">
        <x:f>IF(OR(P876="",Q876=""),"",P876-Q876)</x:f>
      </x:c>
      <x:c r="S876" s="32"/>
      <x:c r="T876" s="32"/>
      <x:c r="U876" s="32"/>
      <x:c r="V876" s="32"/>
      <x:c r="W876" s="32"/>
      <x:c r="X876" s="32"/>
      <x:c r="Y876" s="43" t="str">
        <x:f>IF(OR(X876="",X876="Pending"),"",IF(X876="Rejected",0,IF(AND(U876="Ya",V876="Ya",W876="Ya"),1,"")))</x:f>
      </x:c>
      <x:c r="AA876" s="32"/>
      <x:c r="AB876" s="32"/>
      <x:c r="AC876" s="32"/>
      <x:c r="AD876" s="32"/>
      <x:c r="AE876" s="32"/>
      <x:c r="AF876" s="32"/>
      <x:c r="AG876" s="33" t="str">
        <x:f>IF(OR(AE876="",AF876=""),"",IF(AE876="Positif",IF(AF876="Positif","TP","FN"),IF(AF876="Positif","FP","TN")))</x:f>
      </x:c>
    </x:row>
    <x:row r="877">
      <x:c r="A877" s="32"/>
      <x:c r="B877" s="32"/>
      <x:c r="C877" s="32"/>
      <x:c r="D877" s="35"/>
      <x:c r="E877" s="32"/>
      <x:c r="F877" s="32"/>
      <x:c r="G877" s="32"/>
      <x:c r="H877" s="32"/>
      <x:c r="I877" s="32"/>
      <x:c r="J877" s="32"/>
      <x:c r="K877" s="32"/>
      <x:c r="L877" s="32"/>
      <x:c r="M877" s="32"/>
      <x:c r="N877" s="37"/>
      <x:c r="O877" s="32"/>
      <x:c r="P877" s="40"/>
      <x:c r="Q877" s="40"/>
      <x:c r="R877" s="41" t="str">
        <x:f>IF(OR(P877="",Q877=""),"",P877-Q877)</x:f>
      </x:c>
      <x:c r="S877" s="32"/>
      <x:c r="T877" s="32"/>
      <x:c r="U877" s="32"/>
      <x:c r="V877" s="32"/>
      <x:c r="W877" s="32"/>
      <x:c r="X877" s="32"/>
      <x:c r="Y877" s="43" t="str">
        <x:f>IF(OR(X877="",X877="Pending"),"",IF(X877="Rejected",0,IF(AND(U877="Ya",V877="Ya",W877="Ya"),1,"")))</x:f>
      </x:c>
      <x:c r="AA877" s="32"/>
      <x:c r="AB877" s="32"/>
      <x:c r="AC877" s="32"/>
      <x:c r="AD877" s="32"/>
      <x:c r="AE877" s="32"/>
      <x:c r="AF877" s="32"/>
      <x:c r="AG877" s="33" t="str">
        <x:f>IF(OR(AE877="",AF877=""),"",IF(AE877="Positif",IF(AF877="Positif","TP","FN"),IF(AF877="Positif","FP","TN")))</x:f>
      </x:c>
    </x:row>
    <x:row r="878">
      <x:c r="A878" s="32"/>
      <x:c r="B878" s="32"/>
      <x:c r="C878" s="32"/>
      <x:c r="D878" s="35"/>
      <x:c r="E878" s="32"/>
      <x:c r="F878" s="32"/>
      <x:c r="G878" s="32"/>
      <x:c r="H878" s="32"/>
      <x:c r="I878" s="32"/>
      <x:c r="J878" s="32"/>
      <x:c r="K878" s="32"/>
      <x:c r="L878" s="32"/>
      <x:c r="M878" s="32"/>
      <x:c r="N878" s="37"/>
      <x:c r="O878" s="32"/>
      <x:c r="P878" s="40"/>
      <x:c r="Q878" s="40"/>
      <x:c r="R878" s="41" t="str">
        <x:f>IF(OR(P878="",Q878=""),"",P878-Q878)</x:f>
      </x:c>
      <x:c r="S878" s="32"/>
      <x:c r="T878" s="32"/>
      <x:c r="U878" s="32"/>
      <x:c r="V878" s="32"/>
      <x:c r="W878" s="32"/>
      <x:c r="X878" s="32"/>
      <x:c r="Y878" s="43" t="str">
        <x:f>IF(OR(X878="",X878="Pending"),"",IF(X878="Rejected",0,IF(AND(U878="Ya",V878="Ya",W878="Ya"),1,"")))</x:f>
      </x:c>
      <x:c r="AA878" s="32"/>
      <x:c r="AB878" s="32"/>
      <x:c r="AC878" s="32"/>
      <x:c r="AD878" s="32"/>
      <x:c r="AE878" s="32"/>
      <x:c r="AF878" s="32"/>
      <x:c r="AG878" s="33" t="str">
        <x:f>IF(OR(AE878="",AF878=""),"",IF(AE878="Positif",IF(AF878="Positif","TP","FN"),IF(AF878="Positif","FP","TN")))</x:f>
      </x:c>
    </x:row>
    <x:row r="879">
      <x:c r="A879" s="32"/>
      <x:c r="B879" s="32"/>
      <x:c r="C879" s="32"/>
      <x:c r="D879" s="35"/>
      <x:c r="E879" s="32"/>
      <x:c r="F879" s="32"/>
      <x:c r="G879" s="32"/>
      <x:c r="H879" s="32"/>
      <x:c r="I879" s="32"/>
      <x:c r="J879" s="32"/>
      <x:c r="K879" s="32"/>
      <x:c r="L879" s="32"/>
      <x:c r="M879" s="32"/>
      <x:c r="N879" s="37"/>
      <x:c r="O879" s="32"/>
      <x:c r="P879" s="40"/>
      <x:c r="Q879" s="40"/>
      <x:c r="R879" s="41" t="str">
        <x:f>IF(OR(P879="",Q879=""),"",P879-Q879)</x:f>
      </x:c>
      <x:c r="S879" s="32"/>
      <x:c r="T879" s="32"/>
      <x:c r="U879" s="32"/>
      <x:c r="V879" s="32"/>
      <x:c r="W879" s="32"/>
      <x:c r="X879" s="32"/>
      <x:c r="Y879" s="43" t="str">
        <x:f>IF(OR(X879="",X879="Pending"),"",IF(X879="Rejected",0,IF(AND(U879="Ya",V879="Ya",W879="Ya"),1,"")))</x:f>
      </x:c>
      <x:c r="AA879" s="32"/>
      <x:c r="AB879" s="32"/>
      <x:c r="AC879" s="32"/>
      <x:c r="AD879" s="32"/>
      <x:c r="AE879" s="32"/>
      <x:c r="AF879" s="32"/>
      <x:c r="AG879" s="33" t="str">
        <x:f>IF(OR(AE879="",AF879=""),"",IF(AE879="Positif",IF(AF879="Positif","TP","FN"),IF(AF879="Positif","FP","TN")))</x:f>
      </x:c>
    </x:row>
    <x:row r="880">
      <x:c r="A880" s="32"/>
      <x:c r="B880" s="32"/>
      <x:c r="C880" s="32"/>
      <x:c r="D880" s="35"/>
      <x:c r="E880" s="32"/>
      <x:c r="F880" s="32"/>
      <x:c r="G880" s="32"/>
      <x:c r="H880" s="32"/>
      <x:c r="I880" s="32"/>
      <x:c r="J880" s="32"/>
      <x:c r="K880" s="32"/>
      <x:c r="L880" s="32"/>
      <x:c r="M880" s="32"/>
      <x:c r="N880" s="37"/>
      <x:c r="O880" s="32"/>
      <x:c r="P880" s="40"/>
      <x:c r="Q880" s="40"/>
      <x:c r="R880" s="41" t="str">
        <x:f>IF(OR(P880="",Q880=""),"",P880-Q880)</x:f>
      </x:c>
      <x:c r="S880" s="32"/>
      <x:c r="T880" s="32"/>
      <x:c r="U880" s="32"/>
      <x:c r="V880" s="32"/>
      <x:c r="W880" s="32"/>
      <x:c r="X880" s="32"/>
      <x:c r="Y880" s="43" t="str">
        <x:f>IF(OR(X880="",X880="Pending"),"",IF(X880="Rejected",0,IF(AND(U880="Ya",V880="Ya",W880="Ya"),1,"")))</x:f>
      </x:c>
      <x:c r="AA880" s="32"/>
      <x:c r="AB880" s="32"/>
      <x:c r="AC880" s="32"/>
      <x:c r="AD880" s="32"/>
      <x:c r="AE880" s="32"/>
      <x:c r="AF880" s="32"/>
      <x:c r="AG880" s="33" t="str">
        <x:f>IF(OR(AE880="",AF880=""),"",IF(AE880="Positif",IF(AF880="Positif","TP","FN"),IF(AF880="Positif","FP","TN")))</x:f>
      </x:c>
    </x:row>
    <x:row r="881">
      <x:c r="A881" s="32"/>
      <x:c r="B881" s="32"/>
      <x:c r="C881" s="32"/>
      <x:c r="D881" s="35"/>
      <x:c r="E881" s="32"/>
      <x:c r="F881" s="32"/>
      <x:c r="G881" s="32"/>
      <x:c r="H881" s="32"/>
      <x:c r="I881" s="32"/>
      <x:c r="J881" s="32"/>
      <x:c r="K881" s="32"/>
      <x:c r="L881" s="32"/>
      <x:c r="M881" s="32"/>
      <x:c r="N881" s="37"/>
      <x:c r="O881" s="32"/>
      <x:c r="P881" s="40"/>
      <x:c r="Q881" s="40"/>
      <x:c r="R881" s="41" t="str">
        <x:f>IF(OR(P881="",Q881=""),"",P881-Q881)</x:f>
      </x:c>
      <x:c r="S881" s="32"/>
      <x:c r="T881" s="32"/>
      <x:c r="U881" s="32"/>
      <x:c r="V881" s="32"/>
      <x:c r="W881" s="32"/>
      <x:c r="X881" s="32"/>
      <x:c r="Y881" s="43" t="str">
        <x:f>IF(OR(X881="",X881="Pending"),"",IF(X881="Rejected",0,IF(AND(U881="Ya",V881="Ya",W881="Ya"),1,"")))</x:f>
      </x:c>
      <x:c r="AA881" s="32"/>
      <x:c r="AB881" s="32"/>
      <x:c r="AC881" s="32"/>
      <x:c r="AD881" s="32"/>
      <x:c r="AE881" s="32"/>
      <x:c r="AF881" s="32"/>
      <x:c r="AG881" s="33" t="str">
        <x:f>IF(OR(AE881="",AF881=""),"",IF(AE881="Positif",IF(AF881="Positif","TP","FN"),IF(AF881="Positif","FP","TN")))</x:f>
      </x:c>
    </x:row>
    <x:row r="882">
      <x:c r="A882" s="32"/>
      <x:c r="B882" s="32"/>
      <x:c r="C882" s="32"/>
      <x:c r="D882" s="35"/>
      <x:c r="E882" s="32"/>
      <x:c r="F882" s="32"/>
      <x:c r="G882" s="32"/>
      <x:c r="H882" s="32"/>
      <x:c r="I882" s="32"/>
      <x:c r="J882" s="32"/>
      <x:c r="K882" s="32"/>
      <x:c r="L882" s="32"/>
      <x:c r="M882" s="32"/>
      <x:c r="N882" s="37"/>
      <x:c r="O882" s="32"/>
      <x:c r="P882" s="40"/>
      <x:c r="Q882" s="40"/>
      <x:c r="R882" s="41" t="str">
        <x:f>IF(OR(P882="",Q882=""),"",P882-Q882)</x:f>
      </x:c>
      <x:c r="S882" s="32"/>
      <x:c r="T882" s="32"/>
      <x:c r="U882" s="32"/>
      <x:c r="V882" s="32"/>
      <x:c r="W882" s="32"/>
      <x:c r="X882" s="32"/>
      <x:c r="Y882" s="43" t="str">
        <x:f>IF(OR(X882="",X882="Pending"),"",IF(X882="Rejected",0,IF(AND(U882="Ya",V882="Ya",W882="Ya"),1,"")))</x:f>
      </x:c>
      <x:c r="AA882" s="32"/>
      <x:c r="AB882" s="32"/>
      <x:c r="AC882" s="32"/>
      <x:c r="AD882" s="32"/>
      <x:c r="AE882" s="32"/>
      <x:c r="AF882" s="32"/>
      <x:c r="AG882" s="33" t="str">
        <x:f>IF(OR(AE882="",AF882=""),"",IF(AE882="Positif",IF(AF882="Positif","TP","FN"),IF(AF882="Positif","FP","TN")))</x:f>
      </x:c>
    </x:row>
    <x:row r="883">
      <x:c r="A883" s="32"/>
      <x:c r="B883" s="32"/>
      <x:c r="C883" s="32"/>
      <x:c r="D883" s="35"/>
      <x:c r="E883" s="32"/>
      <x:c r="F883" s="32"/>
      <x:c r="G883" s="32"/>
      <x:c r="H883" s="32"/>
      <x:c r="I883" s="32"/>
      <x:c r="J883" s="32"/>
      <x:c r="K883" s="32"/>
      <x:c r="L883" s="32"/>
      <x:c r="M883" s="32"/>
      <x:c r="N883" s="37"/>
      <x:c r="O883" s="32"/>
      <x:c r="P883" s="40"/>
      <x:c r="Q883" s="40"/>
      <x:c r="R883" s="41" t="str">
        <x:f>IF(OR(P883="",Q883=""),"",P883-Q883)</x:f>
      </x:c>
      <x:c r="S883" s="32"/>
      <x:c r="T883" s="32"/>
      <x:c r="U883" s="32"/>
      <x:c r="V883" s="32"/>
      <x:c r="W883" s="32"/>
      <x:c r="X883" s="32"/>
      <x:c r="Y883" s="43" t="str">
        <x:f>IF(OR(X883="",X883="Pending"),"",IF(X883="Rejected",0,IF(AND(U883="Ya",V883="Ya",W883="Ya"),1,"")))</x:f>
      </x:c>
      <x:c r="AA883" s="32"/>
      <x:c r="AB883" s="32"/>
      <x:c r="AC883" s="32"/>
      <x:c r="AD883" s="32"/>
      <x:c r="AE883" s="32"/>
      <x:c r="AF883" s="32"/>
      <x:c r="AG883" s="33" t="str">
        <x:f>IF(OR(AE883="",AF883=""),"",IF(AE883="Positif",IF(AF883="Positif","TP","FN"),IF(AF883="Positif","FP","TN")))</x:f>
      </x:c>
    </x:row>
    <x:row r="884">
      <x:c r="A884" s="32"/>
      <x:c r="B884" s="32"/>
      <x:c r="C884" s="32"/>
      <x:c r="D884" s="35"/>
      <x:c r="E884" s="32"/>
      <x:c r="F884" s="32"/>
      <x:c r="G884" s="32"/>
      <x:c r="H884" s="32"/>
      <x:c r="I884" s="32"/>
      <x:c r="J884" s="32"/>
      <x:c r="K884" s="32"/>
      <x:c r="L884" s="32"/>
      <x:c r="M884" s="32"/>
      <x:c r="N884" s="37"/>
      <x:c r="O884" s="32"/>
      <x:c r="P884" s="40"/>
      <x:c r="Q884" s="40"/>
      <x:c r="R884" s="41" t="str">
        <x:f>IF(OR(P884="",Q884=""),"",P884-Q884)</x:f>
      </x:c>
      <x:c r="S884" s="32"/>
      <x:c r="T884" s="32"/>
      <x:c r="U884" s="32"/>
      <x:c r="V884" s="32"/>
      <x:c r="W884" s="32"/>
      <x:c r="X884" s="32"/>
      <x:c r="Y884" s="43" t="str">
        <x:f>IF(OR(X884="",X884="Pending"),"",IF(X884="Rejected",0,IF(AND(U884="Ya",V884="Ya",W884="Ya"),1,"")))</x:f>
      </x:c>
      <x:c r="AA884" s="32"/>
      <x:c r="AB884" s="32"/>
      <x:c r="AC884" s="32"/>
      <x:c r="AD884" s="32"/>
      <x:c r="AE884" s="32"/>
      <x:c r="AF884" s="32"/>
      <x:c r="AG884" s="33" t="str">
        <x:f>IF(OR(AE884="",AF884=""),"",IF(AE884="Positif",IF(AF884="Positif","TP","FN"),IF(AF884="Positif","FP","TN")))</x:f>
      </x:c>
    </x:row>
    <x:row r="885">
      <x:c r="A885" s="32"/>
      <x:c r="B885" s="32"/>
      <x:c r="C885" s="32"/>
      <x:c r="D885" s="35"/>
      <x:c r="E885" s="32"/>
      <x:c r="F885" s="32"/>
      <x:c r="G885" s="32"/>
      <x:c r="H885" s="32"/>
      <x:c r="I885" s="32"/>
      <x:c r="J885" s="32"/>
      <x:c r="K885" s="32"/>
      <x:c r="L885" s="32"/>
      <x:c r="M885" s="32"/>
      <x:c r="N885" s="37"/>
      <x:c r="O885" s="32"/>
      <x:c r="P885" s="40"/>
      <x:c r="Q885" s="40"/>
      <x:c r="R885" s="41" t="str">
        <x:f>IF(OR(P885="",Q885=""),"",P885-Q885)</x:f>
      </x:c>
      <x:c r="S885" s="32"/>
      <x:c r="T885" s="32"/>
      <x:c r="U885" s="32"/>
      <x:c r="V885" s="32"/>
      <x:c r="W885" s="32"/>
      <x:c r="X885" s="32"/>
      <x:c r="Y885" s="43" t="str">
        <x:f>IF(OR(X885="",X885="Pending"),"",IF(X885="Rejected",0,IF(AND(U885="Ya",V885="Ya",W885="Ya"),1,"")))</x:f>
      </x:c>
      <x:c r="AA885" s="32"/>
      <x:c r="AB885" s="32"/>
      <x:c r="AC885" s="32"/>
      <x:c r="AD885" s="32"/>
      <x:c r="AE885" s="32"/>
      <x:c r="AF885" s="32"/>
      <x:c r="AG885" s="33" t="str">
        <x:f>IF(OR(AE885="",AF885=""),"",IF(AE885="Positif",IF(AF885="Positif","TP","FN"),IF(AF885="Positif","FP","TN")))</x:f>
      </x:c>
    </x:row>
    <x:row r="886">
      <x:c r="A886" s="32"/>
      <x:c r="B886" s="32"/>
      <x:c r="C886" s="32"/>
      <x:c r="D886" s="35"/>
      <x:c r="E886" s="32"/>
      <x:c r="F886" s="32"/>
      <x:c r="G886" s="32"/>
      <x:c r="H886" s="32"/>
      <x:c r="I886" s="32"/>
      <x:c r="J886" s="32"/>
      <x:c r="K886" s="32"/>
      <x:c r="L886" s="32"/>
      <x:c r="M886" s="32"/>
      <x:c r="N886" s="37"/>
      <x:c r="O886" s="32"/>
      <x:c r="P886" s="40"/>
      <x:c r="Q886" s="40"/>
      <x:c r="R886" s="41" t="str">
        <x:f>IF(OR(P886="",Q886=""),"",P886-Q886)</x:f>
      </x:c>
      <x:c r="S886" s="32"/>
      <x:c r="T886" s="32"/>
      <x:c r="U886" s="32"/>
      <x:c r="V886" s="32"/>
      <x:c r="W886" s="32"/>
      <x:c r="X886" s="32"/>
      <x:c r="Y886" s="43" t="str">
        <x:f>IF(OR(X886="",X886="Pending"),"",IF(X886="Rejected",0,IF(AND(U886="Ya",V886="Ya",W886="Ya"),1,"")))</x:f>
      </x:c>
      <x:c r="AA886" s="32"/>
      <x:c r="AB886" s="32"/>
      <x:c r="AC886" s="32"/>
      <x:c r="AD886" s="32"/>
      <x:c r="AE886" s="32"/>
      <x:c r="AF886" s="32"/>
      <x:c r="AG886" s="33" t="str">
        <x:f>IF(OR(AE886="",AF886=""),"",IF(AE886="Positif",IF(AF886="Positif","TP","FN"),IF(AF886="Positif","FP","TN")))</x:f>
      </x:c>
    </x:row>
    <x:row r="887">
      <x:c r="A887" s="32"/>
      <x:c r="B887" s="32"/>
      <x:c r="C887" s="32"/>
      <x:c r="D887" s="35"/>
      <x:c r="E887" s="32"/>
      <x:c r="F887" s="32"/>
      <x:c r="G887" s="32"/>
      <x:c r="H887" s="32"/>
      <x:c r="I887" s="32"/>
      <x:c r="J887" s="32"/>
      <x:c r="K887" s="32"/>
      <x:c r="L887" s="32"/>
      <x:c r="M887" s="32"/>
      <x:c r="N887" s="37"/>
      <x:c r="O887" s="32"/>
      <x:c r="P887" s="40"/>
      <x:c r="Q887" s="40"/>
      <x:c r="R887" s="41" t="str">
        <x:f>IF(OR(P887="",Q887=""),"",P887-Q887)</x:f>
      </x:c>
      <x:c r="S887" s="32"/>
      <x:c r="T887" s="32"/>
      <x:c r="U887" s="32"/>
      <x:c r="V887" s="32"/>
      <x:c r="W887" s="32"/>
      <x:c r="X887" s="32"/>
      <x:c r="Y887" s="43" t="str">
        <x:f>IF(OR(X887="",X887="Pending"),"",IF(X887="Rejected",0,IF(AND(U887="Ya",V887="Ya",W887="Ya"),1,"")))</x:f>
      </x:c>
      <x:c r="AA887" s="32"/>
      <x:c r="AB887" s="32"/>
      <x:c r="AC887" s="32"/>
      <x:c r="AD887" s="32"/>
      <x:c r="AE887" s="32"/>
      <x:c r="AF887" s="32"/>
      <x:c r="AG887" s="33" t="str">
        <x:f>IF(OR(AE887="",AF887=""),"",IF(AE887="Positif",IF(AF887="Positif","TP","FN"),IF(AF887="Positif","FP","TN")))</x:f>
      </x:c>
    </x:row>
    <x:row r="888">
      <x:c r="A888" s="32"/>
      <x:c r="B888" s="32"/>
      <x:c r="C888" s="32"/>
      <x:c r="D888" s="35"/>
      <x:c r="E888" s="32"/>
      <x:c r="F888" s="32"/>
      <x:c r="G888" s="32"/>
      <x:c r="H888" s="32"/>
      <x:c r="I888" s="32"/>
      <x:c r="J888" s="32"/>
      <x:c r="K888" s="32"/>
      <x:c r="L888" s="32"/>
      <x:c r="M888" s="32"/>
      <x:c r="N888" s="37"/>
      <x:c r="O888" s="32"/>
      <x:c r="P888" s="40"/>
      <x:c r="Q888" s="40"/>
      <x:c r="R888" s="41" t="str">
        <x:f>IF(OR(P888="",Q888=""),"",P888-Q888)</x:f>
      </x:c>
      <x:c r="S888" s="32"/>
      <x:c r="T888" s="32"/>
      <x:c r="U888" s="32"/>
      <x:c r="V888" s="32"/>
      <x:c r="W888" s="32"/>
      <x:c r="X888" s="32"/>
      <x:c r="Y888" s="43" t="str">
        <x:f>IF(OR(X888="",X888="Pending"),"",IF(X888="Rejected",0,IF(AND(U888="Ya",V888="Ya",W888="Ya"),1,"")))</x:f>
      </x:c>
      <x:c r="AA888" s="32"/>
      <x:c r="AB888" s="32"/>
      <x:c r="AC888" s="32"/>
      <x:c r="AD888" s="32"/>
      <x:c r="AE888" s="32"/>
      <x:c r="AF888" s="32"/>
      <x:c r="AG888" s="33" t="str">
        <x:f>IF(OR(AE888="",AF888=""),"",IF(AE888="Positif",IF(AF888="Positif","TP","FN"),IF(AF888="Positif","FP","TN")))</x:f>
      </x:c>
    </x:row>
    <x:row r="889">
      <x:c r="A889" s="32"/>
      <x:c r="B889" s="32"/>
      <x:c r="C889" s="32"/>
      <x:c r="D889" s="35"/>
      <x:c r="E889" s="32"/>
      <x:c r="F889" s="32"/>
      <x:c r="G889" s="32"/>
      <x:c r="H889" s="32"/>
      <x:c r="I889" s="32"/>
      <x:c r="J889" s="32"/>
      <x:c r="K889" s="32"/>
      <x:c r="L889" s="32"/>
      <x:c r="M889" s="32"/>
      <x:c r="N889" s="37"/>
      <x:c r="O889" s="32"/>
      <x:c r="P889" s="40"/>
      <x:c r="Q889" s="40"/>
      <x:c r="R889" s="41" t="str">
        <x:f>IF(OR(P889="",Q889=""),"",P889-Q889)</x:f>
      </x:c>
      <x:c r="S889" s="32"/>
      <x:c r="T889" s="32"/>
      <x:c r="U889" s="32"/>
      <x:c r="V889" s="32"/>
      <x:c r="W889" s="32"/>
      <x:c r="X889" s="32"/>
      <x:c r="Y889" s="43" t="str">
        <x:f>IF(OR(X889="",X889="Pending"),"",IF(X889="Rejected",0,IF(AND(U889="Ya",V889="Ya",W889="Ya"),1,"")))</x:f>
      </x:c>
      <x:c r="AA889" s="32"/>
      <x:c r="AB889" s="32"/>
      <x:c r="AC889" s="32"/>
      <x:c r="AD889" s="32"/>
      <x:c r="AE889" s="32"/>
      <x:c r="AF889" s="32"/>
      <x:c r="AG889" s="33" t="str">
        <x:f>IF(OR(AE889="",AF889=""),"",IF(AE889="Positif",IF(AF889="Positif","TP","FN"),IF(AF889="Positif","FP","TN")))</x:f>
      </x:c>
    </x:row>
    <x:row r="890">
      <x:c r="A890" s="32"/>
      <x:c r="B890" s="32"/>
      <x:c r="C890" s="32"/>
      <x:c r="D890" s="35"/>
      <x:c r="E890" s="32"/>
      <x:c r="F890" s="32"/>
      <x:c r="G890" s="32"/>
      <x:c r="H890" s="32"/>
      <x:c r="I890" s="32"/>
      <x:c r="J890" s="32"/>
      <x:c r="K890" s="32"/>
      <x:c r="L890" s="32"/>
      <x:c r="M890" s="32"/>
      <x:c r="N890" s="37"/>
      <x:c r="O890" s="32"/>
      <x:c r="P890" s="40"/>
      <x:c r="Q890" s="40"/>
      <x:c r="R890" s="41" t="str">
        <x:f>IF(OR(P890="",Q890=""),"",P890-Q890)</x:f>
      </x:c>
      <x:c r="S890" s="32"/>
      <x:c r="T890" s="32"/>
      <x:c r="U890" s="32"/>
      <x:c r="V890" s="32"/>
      <x:c r="W890" s="32"/>
      <x:c r="X890" s="32"/>
      <x:c r="Y890" s="43" t="str">
        <x:f>IF(OR(X890="",X890="Pending"),"",IF(X890="Rejected",0,IF(AND(U890="Ya",V890="Ya",W890="Ya"),1,"")))</x:f>
      </x:c>
      <x:c r="AA890" s="32"/>
      <x:c r="AB890" s="32"/>
      <x:c r="AC890" s="32"/>
      <x:c r="AD890" s="32"/>
      <x:c r="AE890" s="32"/>
      <x:c r="AF890" s="32"/>
      <x:c r="AG890" s="33" t="str">
        <x:f>IF(OR(AE890="",AF890=""),"",IF(AE890="Positif",IF(AF890="Positif","TP","FN"),IF(AF890="Positif","FP","TN")))</x:f>
      </x:c>
    </x:row>
    <x:row r="891">
      <x:c r="A891" s="32"/>
      <x:c r="B891" s="32"/>
      <x:c r="C891" s="32"/>
      <x:c r="D891" s="35"/>
      <x:c r="E891" s="32"/>
      <x:c r="F891" s="32"/>
      <x:c r="G891" s="32"/>
      <x:c r="H891" s="32"/>
      <x:c r="I891" s="32"/>
      <x:c r="J891" s="32"/>
      <x:c r="K891" s="32"/>
      <x:c r="L891" s="32"/>
      <x:c r="M891" s="32"/>
      <x:c r="N891" s="37"/>
      <x:c r="O891" s="32"/>
      <x:c r="P891" s="40"/>
      <x:c r="Q891" s="40"/>
      <x:c r="R891" s="41" t="str">
        <x:f>IF(OR(P891="",Q891=""),"",P891-Q891)</x:f>
      </x:c>
      <x:c r="S891" s="32"/>
      <x:c r="T891" s="32"/>
      <x:c r="U891" s="32"/>
      <x:c r="V891" s="32"/>
      <x:c r="W891" s="32"/>
      <x:c r="X891" s="32"/>
      <x:c r="Y891" s="43" t="str">
        <x:f>IF(OR(X891="",X891="Pending"),"",IF(X891="Rejected",0,IF(AND(U891="Ya",V891="Ya",W891="Ya"),1,"")))</x:f>
      </x:c>
      <x:c r="AA891" s="32"/>
      <x:c r="AB891" s="32"/>
      <x:c r="AC891" s="32"/>
      <x:c r="AD891" s="32"/>
      <x:c r="AE891" s="32"/>
      <x:c r="AF891" s="32"/>
      <x:c r="AG891" s="33" t="str">
        <x:f>IF(OR(AE891="",AF891=""),"",IF(AE891="Positif",IF(AF891="Positif","TP","FN"),IF(AF891="Positif","FP","TN")))</x:f>
      </x:c>
    </x:row>
    <x:row r="892">
      <x:c r="A892" s="32"/>
      <x:c r="B892" s="32"/>
      <x:c r="C892" s="32"/>
      <x:c r="D892" s="35"/>
      <x:c r="E892" s="32"/>
      <x:c r="F892" s="32"/>
      <x:c r="G892" s="32"/>
      <x:c r="H892" s="32"/>
      <x:c r="I892" s="32"/>
      <x:c r="J892" s="32"/>
      <x:c r="K892" s="32"/>
      <x:c r="L892" s="32"/>
      <x:c r="M892" s="32"/>
      <x:c r="N892" s="37"/>
      <x:c r="O892" s="32"/>
      <x:c r="P892" s="40"/>
      <x:c r="Q892" s="40"/>
      <x:c r="R892" s="41" t="str">
        <x:f>IF(OR(P892="",Q892=""),"",P892-Q892)</x:f>
      </x:c>
      <x:c r="S892" s="32"/>
      <x:c r="T892" s="32"/>
      <x:c r="U892" s="32"/>
      <x:c r="V892" s="32"/>
      <x:c r="W892" s="32"/>
      <x:c r="X892" s="32"/>
      <x:c r="Y892" s="43" t="str">
        <x:f>IF(OR(X892="",X892="Pending"),"",IF(X892="Rejected",0,IF(AND(U892="Ya",V892="Ya",W892="Ya"),1,"")))</x:f>
      </x:c>
      <x:c r="AA892" s="32"/>
      <x:c r="AB892" s="32"/>
      <x:c r="AC892" s="32"/>
      <x:c r="AD892" s="32"/>
      <x:c r="AE892" s="32"/>
      <x:c r="AF892" s="32"/>
      <x:c r="AG892" s="33" t="str">
        <x:f>IF(OR(AE892="",AF892=""),"",IF(AE892="Positif",IF(AF892="Positif","TP","FN"),IF(AF892="Positif","FP","TN")))</x:f>
      </x:c>
    </x:row>
    <x:row r="893">
      <x:c r="A893" s="32"/>
      <x:c r="B893" s="32"/>
      <x:c r="C893" s="32"/>
      <x:c r="D893" s="35"/>
      <x:c r="E893" s="32"/>
      <x:c r="F893" s="32"/>
      <x:c r="G893" s="32"/>
      <x:c r="H893" s="32"/>
      <x:c r="I893" s="32"/>
      <x:c r="J893" s="32"/>
      <x:c r="K893" s="32"/>
      <x:c r="L893" s="32"/>
      <x:c r="M893" s="32"/>
      <x:c r="N893" s="37"/>
      <x:c r="O893" s="32"/>
      <x:c r="P893" s="40"/>
      <x:c r="Q893" s="40"/>
      <x:c r="R893" s="41" t="str">
        <x:f>IF(OR(P893="",Q893=""),"",P893-Q893)</x:f>
      </x:c>
      <x:c r="S893" s="32"/>
      <x:c r="T893" s="32"/>
      <x:c r="U893" s="32"/>
      <x:c r="V893" s="32"/>
      <x:c r="W893" s="32"/>
      <x:c r="X893" s="32"/>
      <x:c r="Y893" s="43" t="str">
        <x:f>IF(OR(X893="",X893="Pending"),"",IF(X893="Rejected",0,IF(AND(U893="Ya",V893="Ya",W893="Ya"),1,"")))</x:f>
      </x:c>
      <x:c r="AA893" s="32"/>
      <x:c r="AB893" s="32"/>
      <x:c r="AC893" s="32"/>
      <x:c r="AD893" s="32"/>
      <x:c r="AE893" s="32"/>
      <x:c r="AF893" s="32"/>
      <x:c r="AG893" s="33" t="str">
        <x:f>IF(OR(AE893="",AF893=""),"",IF(AE893="Positif",IF(AF893="Positif","TP","FN"),IF(AF893="Positif","FP","TN")))</x:f>
      </x:c>
    </x:row>
    <x:row r="894">
      <x:c r="A894" s="32"/>
      <x:c r="B894" s="32"/>
      <x:c r="C894" s="32"/>
      <x:c r="D894" s="35"/>
      <x:c r="E894" s="32"/>
      <x:c r="F894" s="32"/>
      <x:c r="G894" s="32"/>
      <x:c r="H894" s="32"/>
      <x:c r="I894" s="32"/>
      <x:c r="J894" s="32"/>
      <x:c r="K894" s="32"/>
      <x:c r="L894" s="32"/>
      <x:c r="M894" s="32"/>
      <x:c r="N894" s="37"/>
      <x:c r="O894" s="32"/>
      <x:c r="P894" s="40"/>
      <x:c r="Q894" s="40"/>
      <x:c r="R894" s="41" t="str">
        <x:f>IF(OR(P894="",Q894=""),"",P894-Q894)</x:f>
      </x:c>
      <x:c r="S894" s="32"/>
      <x:c r="T894" s="32"/>
      <x:c r="U894" s="32"/>
      <x:c r="V894" s="32"/>
      <x:c r="W894" s="32"/>
      <x:c r="X894" s="32"/>
      <x:c r="Y894" s="43" t="str">
        <x:f>IF(OR(X894="",X894="Pending"),"",IF(X894="Rejected",0,IF(AND(U894="Ya",V894="Ya",W894="Ya"),1,"")))</x:f>
      </x:c>
      <x:c r="AA894" s="32"/>
      <x:c r="AB894" s="32"/>
      <x:c r="AC894" s="32"/>
      <x:c r="AD894" s="32"/>
      <x:c r="AE894" s="32"/>
      <x:c r="AF894" s="32"/>
      <x:c r="AG894" s="33" t="str">
        <x:f>IF(OR(AE894="",AF894=""),"",IF(AE894="Positif",IF(AF894="Positif","TP","FN"),IF(AF894="Positif","FP","TN")))</x:f>
      </x:c>
    </x:row>
    <x:row r="895">
      <x:c r="A895" s="32"/>
      <x:c r="B895" s="32"/>
      <x:c r="C895" s="32"/>
      <x:c r="D895" s="35"/>
      <x:c r="E895" s="32"/>
      <x:c r="F895" s="32"/>
      <x:c r="G895" s="32"/>
      <x:c r="H895" s="32"/>
      <x:c r="I895" s="32"/>
      <x:c r="J895" s="32"/>
      <x:c r="K895" s="32"/>
      <x:c r="L895" s="32"/>
      <x:c r="M895" s="32"/>
      <x:c r="N895" s="37"/>
      <x:c r="O895" s="32"/>
      <x:c r="P895" s="40"/>
      <x:c r="Q895" s="40"/>
      <x:c r="R895" s="41" t="str">
        <x:f>IF(OR(P895="",Q895=""),"",P895-Q895)</x:f>
      </x:c>
      <x:c r="S895" s="32"/>
      <x:c r="T895" s="32"/>
      <x:c r="U895" s="32"/>
      <x:c r="V895" s="32"/>
      <x:c r="W895" s="32"/>
      <x:c r="X895" s="32"/>
      <x:c r="Y895" s="43" t="str">
        <x:f>IF(OR(X895="",X895="Pending"),"",IF(X895="Rejected",0,IF(AND(U895="Ya",V895="Ya",W895="Ya"),1,"")))</x:f>
      </x:c>
      <x:c r="AA895" s="32"/>
      <x:c r="AB895" s="32"/>
      <x:c r="AC895" s="32"/>
      <x:c r="AD895" s="32"/>
      <x:c r="AE895" s="32"/>
      <x:c r="AF895" s="32"/>
      <x:c r="AG895" s="33" t="str">
        <x:f>IF(OR(AE895="",AF895=""),"",IF(AE895="Positif",IF(AF895="Positif","TP","FN"),IF(AF895="Positif","FP","TN")))</x:f>
      </x:c>
    </x:row>
    <x:row r="896">
      <x:c r="A896" s="32"/>
      <x:c r="B896" s="32"/>
      <x:c r="C896" s="32"/>
      <x:c r="D896" s="35"/>
      <x:c r="E896" s="32"/>
      <x:c r="F896" s="32"/>
      <x:c r="G896" s="32"/>
      <x:c r="H896" s="32"/>
      <x:c r="I896" s="32"/>
      <x:c r="J896" s="32"/>
      <x:c r="K896" s="32"/>
      <x:c r="L896" s="32"/>
      <x:c r="M896" s="32"/>
      <x:c r="N896" s="37"/>
      <x:c r="O896" s="32"/>
      <x:c r="P896" s="40"/>
      <x:c r="Q896" s="40"/>
      <x:c r="R896" s="41" t="str">
        <x:f>IF(OR(P896="",Q896=""),"",P896-Q896)</x:f>
      </x:c>
      <x:c r="S896" s="32"/>
      <x:c r="T896" s="32"/>
      <x:c r="U896" s="32"/>
      <x:c r="V896" s="32"/>
      <x:c r="W896" s="32"/>
      <x:c r="X896" s="32"/>
      <x:c r="Y896" s="43" t="str">
        <x:f>IF(OR(X896="",X896="Pending"),"",IF(X896="Rejected",0,IF(AND(U896="Ya",V896="Ya",W896="Ya"),1,"")))</x:f>
      </x:c>
      <x:c r="AA896" s="32"/>
      <x:c r="AB896" s="32"/>
      <x:c r="AC896" s="32"/>
      <x:c r="AD896" s="32"/>
      <x:c r="AE896" s="32"/>
      <x:c r="AF896" s="32"/>
      <x:c r="AG896" s="33" t="str">
        <x:f>IF(OR(AE896="",AF896=""),"",IF(AE896="Positif",IF(AF896="Positif","TP","FN"),IF(AF896="Positif","FP","TN")))</x:f>
      </x:c>
    </x:row>
    <x:row r="897">
      <x:c r="A897" s="32"/>
      <x:c r="B897" s="32"/>
      <x:c r="C897" s="32"/>
      <x:c r="D897" s="35"/>
      <x:c r="E897" s="32"/>
      <x:c r="F897" s="32"/>
      <x:c r="G897" s="32"/>
      <x:c r="H897" s="32"/>
      <x:c r="I897" s="32"/>
      <x:c r="J897" s="32"/>
      <x:c r="K897" s="32"/>
      <x:c r="L897" s="32"/>
      <x:c r="M897" s="32"/>
      <x:c r="N897" s="37"/>
      <x:c r="O897" s="32"/>
      <x:c r="P897" s="40"/>
      <x:c r="Q897" s="40"/>
      <x:c r="R897" s="41" t="str">
        <x:f>IF(OR(P897="",Q897=""),"",P897-Q897)</x:f>
      </x:c>
      <x:c r="S897" s="32"/>
      <x:c r="T897" s="32"/>
      <x:c r="U897" s="32"/>
      <x:c r="V897" s="32"/>
      <x:c r="W897" s="32"/>
      <x:c r="X897" s="32"/>
      <x:c r="Y897" s="43" t="str">
        <x:f>IF(OR(X897="",X897="Pending"),"",IF(X897="Rejected",0,IF(AND(U897="Ya",V897="Ya",W897="Ya"),1,"")))</x:f>
      </x:c>
      <x:c r="AA897" s="32"/>
      <x:c r="AB897" s="32"/>
      <x:c r="AC897" s="32"/>
      <x:c r="AD897" s="32"/>
      <x:c r="AE897" s="32"/>
      <x:c r="AF897" s="32"/>
      <x:c r="AG897" s="33" t="str">
        <x:f>IF(OR(AE897="",AF897=""),"",IF(AE897="Positif",IF(AF897="Positif","TP","FN"),IF(AF897="Positif","FP","TN")))</x:f>
      </x:c>
    </x:row>
    <x:row r="898">
      <x:c r="A898" s="32"/>
      <x:c r="B898" s="32"/>
      <x:c r="C898" s="32"/>
      <x:c r="D898" s="35"/>
      <x:c r="E898" s="32"/>
      <x:c r="F898" s="32"/>
      <x:c r="G898" s="32"/>
      <x:c r="H898" s="32"/>
      <x:c r="I898" s="32"/>
      <x:c r="J898" s="32"/>
      <x:c r="K898" s="32"/>
      <x:c r="L898" s="32"/>
      <x:c r="M898" s="32"/>
      <x:c r="N898" s="37"/>
      <x:c r="O898" s="32"/>
      <x:c r="P898" s="40"/>
      <x:c r="Q898" s="40"/>
      <x:c r="R898" s="41" t="str">
        <x:f>IF(OR(P898="",Q898=""),"",P898-Q898)</x:f>
      </x:c>
      <x:c r="S898" s="32"/>
      <x:c r="T898" s="32"/>
      <x:c r="U898" s="32"/>
      <x:c r="V898" s="32"/>
      <x:c r="W898" s="32"/>
      <x:c r="X898" s="32"/>
      <x:c r="Y898" s="43" t="str">
        <x:f>IF(OR(X898="",X898="Pending"),"",IF(X898="Rejected",0,IF(AND(U898="Ya",V898="Ya",W898="Ya"),1,"")))</x:f>
      </x:c>
      <x:c r="AA898" s="32"/>
      <x:c r="AB898" s="32"/>
      <x:c r="AC898" s="32"/>
      <x:c r="AD898" s="32"/>
      <x:c r="AE898" s="32"/>
      <x:c r="AF898" s="32"/>
      <x:c r="AG898" s="33" t="str">
        <x:f>IF(OR(AE898="",AF898=""),"",IF(AE898="Positif",IF(AF898="Positif","TP","FN"),IF(AF898="Positif","FP","TN")))</x:f>
      </x:c>
    </x:row>
    <x:row r="899">
      <x:c r="A899" s="32"/>
      <x:c r="B899" s="32"/>
      <x:c r="C899" s="32"/>
      <x:c r="D899" s="35"/>
      <x:c r="E899" s="32"/>
      <x:c r="F899" s="32"/>
      <x:c r="G899" s="32"/>
      <x:c r="H899" s="32"/>
      <x:c r="I899" s="32"/>
      <x:c r="J899" s="32"/>
      <x:c r="K899" s="32"/>
      <x:c r="L899" s="32"/>
      <x:c r="M899" s="32"/>
      <x:c r="N899" s="37"/>
      <x:c r="O899" s="32"/>
      <x:c r="P899" s="40"/>
      <x:c r="Q899" s="40"/>
      <x:c r="R899" s="41" t="str">
        <x:f>IF(OR(P899="",Q899=""),"",P899-Q899)</x:f>
      </x:c>
      <x:c r="S899" s="32"/>
      <x:c r="T899" s="32"/>
      <x:c r="U899" s="32"/>
      <x:c r="V899" s="32"/>
      <x:c r="W899" s="32"/>
      <x:c r="X899" s="32"/>
      <x:c r="Y899" s="43" t="str">
        <x:f>IF(OR(X899="",X899="Pending"),"",IF(X899="Rejected",0,IF(AND(U899="Ya",V899="Ya",W899="Ya"),1,"")))</x:f>
      </x:c>
      <x:c r="AA899" s="32"/>
      <x:c r="AB899" s="32"/>
      <x:c r="AC899" s="32"/>
      <x:c r="AD899" s="32"/>
      <x:c r="AE899" s="32"/>
      <x:c r="AF899" s="32"/>
      <x:c r="AG899" s="33" t="str">
        <x:f>IF(OR(AE899="",AF899=""),"",IF(AE899="Positif",IF(AF899="Positif","TP","FN"),IF(AF899="Positif","FP","TN")))</x:f>
      </x:c>
    </x:row>
    <x:row r="900">
      <x:c r="A900" s="32"/>
      <x:c r="B900" s="32"/>
      <x:c r="C900" s="32"/>
      <x:c r="D900" s="35"/>
      <x:c r="E900" s="32"/>
      <x:c r="F900" s="32"/>
      <x:c r="G900" s="32"/>
      <x:c r="H900" s="32"/>
      <x:c r="I900" s="32"/>
      <x:c r="J900" s="32"/>
      <x:c r="K900" s="32"/>
      <x:c r="L900" s="32"/>
      <x:c r="M900" s="32"/>
      <x:c r="N900" s="37"/>
      <x:c r="O900" s="32"/>
      <x:c r="P900" s="40"/>
      <x:c r="Q900" s="40"/>
      <x:c r="R900" s="41" t="str">
        <x:f>IF(OR(P900="",Q900=""),"",P900-Q900)</x:f>
      </x:c>
      <x:c r="S900" s="32"/>
      <x:c r="T900" s="32"/>
      <x:c r="U900" s="32"/>
      <x:c r="V900" s="32"/>
      <x:c r="W900" s="32"/>
      <x:c r="X900" s="32"/>
      <x:c r="Y900" s="43" t="str">
        <x:f>IF(OR(X900="",X900="Pending"),"",IF(X900="Rejected",0,IF(AND(U900="Ya",V900="Ya",W900="Ya"),1,"")))</x:f>
      </x:c>
      <x:c r="AA900" s="32"/>
      <x:c r="AB900" s="32"/>
      <x:c r="AC900" s="32"/>
      <x:c r="AD900" s="32"/>
      <x:c r="AE900" s="32"/>
      <x:c r="AF900" s="32"/>
      <x:c r="AG900" s="33" t="str">
        <x:f>IF(OR(AE900="",AF900=""),"",IF(AE900="Positif",IF(AF900="Positif","TP","FN"),IF(AF900="Positif","FP","TN")))</x:f>
      </x:c>
    </x:row>
    <x:row r="901">
      <x:c r="A901" s="32"/>
      <x:c r="B901" s="32"/>
      <x:c r="C901" s="32"/>
      <x:c r="D901" s="35"/>
      <x:c r="E901" s="32"/>
      <x:c r="F901" s="32"/>
      <x:c r="G901" s="32"/>
      <x:c r="H901" s="32"/>
      <x:c r="I901" s="32"/>
      <x:c r="J901" s="32"/>
      <x:c r="K901" s="32"/>
      <x:c r="L901" s="32"/>
      <x:c r="M901" s="32"/>
      <x:c r="N901" s="37"/>
      <x:c r="O901" s="32"/>
      <x:c r="P901" s="40"/>
      <x:c r="Q901" s="40"/>
      <x:c r="R901" s="41" t="str">
        <x:f>IF(OR(P901="",Q901=""),"",P901-Q901)</x:f>
      </x:c>
      <x:c r="S901" s="32"/>
      <x:c r="T901" s="32"/>
      <x:c r="U901" s="32"/>
      <x:c r="V901" s="32"/>
      <x:c r="W901" s="32"/>
      <x:c r="X901" s="32"/>
      <x:c r="Y901" s="43" t="str">
        <x:f>IF(OR(X901="",X901="Pending"),"",IF(X901="Rejected",0,IF(AND(U901="Ya",V901="Ya",W901="Ya"),1,"")))</x:f>
      </x:c>
      <x:c r="AA901" s="32"/>
      <x:c r="AB901" s="32"/>
      <x:c r="AC901" s="32"/>
      <x:c r="AD901" s="32"/>
      <x:c r="AE901" s="32"/>
      <x:c r="AF901" s="32"/>
      <x:c r="AG901" s="33" t="str">
        <x:f>IF(OR(AE901="",AF901=""),"",IF(AE901="Positif",IF(AF901="Positif","TP","FN"),IF(AF901="Positif","FP","TN")))</x:f>
      </x:c>
    </x:row>
    <x:row r="902">
      <x:c r="A902" s="32"/>
      <x:c r="B902" s="32"/>
      <x:c r="C902" s="32"/>
      <x:c r="D902" s="35"/>
      <x:c r="E902" s="32"/>
      <x:c r="F902" s="32"/>
      <x:c r="G902" s="32"/>
      <x:c r="H902" s="32"/>
      <x:c r="I902" s="32"/>
      <x:c r="J902" s="32"/>
      <x:c r="K902" s="32"/>
      <x:c r="L902" s="32"/>
      <x:c r="M902" s="32"/>
      <x:c r="N902" s="37"/>
      <x:c r="O902" s="32"/>
      <x:c r="P902" s="40"/>
      <x:c r="Q902" s="40"/>
      <x:c r="R902" s="41" t="str">
        <x:f>IF(OR(P902="",Q902=""),"",P902-Q902)</x:f>
      </x:c>
      <x:c r="S902" s="32"/>
      <x:c r="T902" s="32"/>
      <x:c r="U902" s="32"/>
      <x:c r="V902" s="32"/>
      <x:c r="W902" s="32"/>
      <x:c r="X902" s="32"/>
      <x:c r="Y902" s="43" t="str">
        <x:f>IF(OR(X902="",X902="Pending"),"",IF(X902="Rejected",0,IF(AND(U902="Ya",V902="Ya",W902="Ya"),1,"")))</x:f>
      </x:c>
      <x:c r="AA902" s="32"/>
      <x:c r="AB902" s="32"/>
      <x:c r="AC902" s="32"/>
      <x:c r="AD902" s="32"/>
      <x:c r="AE902" s="32"/>
      <x:c r="AF902" s="32"/>
      <x:c r="AG902" s="33" t="str">
        <x:f>IF(OR(AE902="",AF902=""),"",IF(AE902="Positif",IF(AF902="Positif","TP","FN"),IF(AF902="Positif","FP","TN")))</x:f>
      </x:c>
    </x:row>
    <x:row r="903">
      <x:c r="A903" s="32"/>
      <x:c r="B903" s="32"/>
      <x:c r="C903" s="32"/>
      <x:c r="D903" s="35"/>
      <x:c r="E903" s="32"/>
      <x:c r="F903" s="32"/>
      <x:c r="G903" s="32"/>
      <x:c r="H903" s="32"/>
      <x:c r="I903" s="32"/>
      <x:c r="J903" s="32"/>
      <x:c r="K903" s="32"/>
      <x:c r="L903" s="32"/>
      <x:c r="M903" s="32"/>
      <x:c r="N903" s="37"/>
      <x:c r="O903" s="32"/>
      <x:c r="P903" s="40"/>
      <x:c r="Q903" s="40"/>
      <x:c r="R903" s="41" t="str">
        <x:f>IF(OR(P903="",Q903=""),"",P903-Q903)</x:f>
      </x:c>
      <x:c r="S903" s="32"/>
      <x:c r="T903" s="32"/>
      <x:c r="U903" s="32"/>
      <x:c r="V903" s="32"/>
      <x:c r="W903" s="32"/>
      <x:c r="X903" s="32"/>
      <x:c r="Y903" s="43" t="str">
        <x:f>IF(OR(X903="",X903="Pending"),"",IF(X903="Rejected",0,IF(AND(U903="Ya",V903="Ya",W903="Ya"),1,"")))</x:f>
      </x:c>
      <x:c r="AA903" s="32"/>
      <x:c r="AB903" s="32"/>
      <x:c r="AC903" s="32"/>
      <x:c r="AD903" s="32"/>
      <x:c r="AE903" s="32"/>
      <x:c r="AF903" s="32"/>
      <x:c r="AG903" s="33" t="str">
        <x:f>IF(OR(AE903="",AF903=""),"",IF(AE903="Positif",IF(AF903="Positif","TP","FN"),IF(AF903="Positif","FP","TN")))</x:f>
      </x:c>
    </x:row>
    <x:row r="904">
      <x:c r="A904" s="32"/>
      <x:c r="B904" s="32"/>
      <x:c r="C904" s="32"/>
      <x:c r="D904" s="35"/>
      <x:c r="E904" s="32"/>
      <x:c r="F904" s="32"/>
      <x:c r="G904" s="32"/>
      <x:c r="H904" s="32"/>
      <x:c r="I904" s="32"/>
      <x:c r="J904" s="32"/>
      <x:c r="K904" s="32"/>
      <x:c r="L904" s="32"/>
      <x:c r="M904" s="32"/>
      <x:c r="N904" s="37"/>
      <x:c r="O904" s="32"/>
      <x:c r="P904" s="40"/>
      <x:c r="Q904" s="40"/>
      <x:c r="R904" s="41" t="str">
        <x:f>IF(OR(P904="",Q904=""),"",P904-Q904)</x:f>
      </x:c>
      <x:c r="S904" s="32"/>
      <x:c r="T904" s="32"/>
      <x:c r="U904" s="32"/>
      <x:c r="V904" s="32"/>
      <x:c r="W904" s="32"/>
      <x:c r="X904" s="32"/>
      <x:c r="Y904" s="43" t="str">
        <x:f>IF(OR(X904="",X904="Pending"),"",IF(X904="Rejected",0,IF(AND(U904="Ya",V904="Ya",W904="Ya"),1,"")))</x:f>
      </x:c>
      <x:c r="AA904" s="32"/>
      <x:c r="AB904" s="32"/>
      <x:c r="AC904" s="32"/>
      <x:c r="AD904" s="32"/>
      <x:c r="AE904" s="32"/>
      <x:c r="AF904" s="32"/>
      <x:c r="AG904" s="33" t="str">
        <x:f>IF(OR(AE904="",AF904=""),"",IF(AE904="Positif",IF(AF904="Positif","TP","FN"),IF(AF904="Positif","FP","TN")))</x:f>
      </x:c>
    </x:row>
    <x:row r="905">
      <x:c r="A905" s="32"/>
      <x:c r="B905" s="32"/>
      <x:c r="C905" s="32"/>
      <x:c r="D905" s="35"/>
      <x:c r="E905" s="32"/>
      <x:c r="F905" s="32"/>
      <x:c r="G905" s="32"/>
      <x:c r="H905" s="32"/>
      <x:c r="I905" s="32"/>
      <x:c r="J905" s="32"/>
      <x:c r="K905" s="32"/>
      <x:c r="L905" s="32"/>
      <x:c r="M905" s="32"/>
      <x:c r="N905" s="37"/>
      <x:c r="O905" s="32"/>
      <x:c r="P905" s="40"/>
      <x:c r="Q905" s="40"/>
      <x:c r="R905" s="41" t="str">
        <x:f>IF(OR(P905="",Q905=""),"",P905-Q905)</x:f>
      </x:c>
      <x:c r="S905" s="32"/>
      <x:c r="T905" s="32"/>
      <x:c r="U905" s="32"/>
      <x:c r="V905" s="32"/>
      <x:c r="W905" s="32"/>
      <x:c r="X905" s="32"/>
      <x:c r="Y905" s="43" t="str">
        <x:f>IF(OR(X905="",X905="Pending"),"",IF(X905="Rejected",0,IF(AND(U905="Ya",V905="Ya",W905="Ya"),1,"")))</x:f>
      </x:c>
      <x:c r="AA905" s="32"/>
      <x:c r="AB905" s="32"/>
      <x:c r="AC905" s="32"/>
      <x:c r="AD905" s="32"/>
      <x:c r="AE905" s="32"/>
      <x:c r="AF905" s="32"/>
      <x:c r="AG905" s="33" t="str">
        <x:f>IF(OR(AE905="",AF905=""),"",IF(AE905="Positif",IF(AF905="Positif","TP","FN"),IF(AF905="Positif","FP","TN")))</x:f>
      </x:c>
    </x:row>
    <x:row r="906">
      <x:c r="A906" s="32"/>
      <x:c r="B906" s="32"/>
      <x:c r="C906" s="32"/>
      <x:c r="D906" s="35"/>
      <x:c r="E906" s="32"/>
      <x:c r="F906" s="32"/>
      <x:c r="G906" s="32"/>
      <x:c r="H906" s="32"/>
      <x:c r="I906" s="32"/>
      <x:c r="J906" s="32"/>
      <x:c r="K906" s="32"/>
      <x:c r="L906" s="32"/>
      <x:c r="M906" s="32"/>
      <x:c r="N906" s="37"/>
      <x:c r="O906" s="32"/>
      <x:c r="P906" s="40"/>
      <x:c r="Q906" s="40"/>
      <x:c r="R906" s="41" t="str">
        <x:f>IF(OR(P906="",Q906=""),"",P906-Q906)</x:f>
      </x:c>
      <x:c r="S906" s="32"/>
      <x:c r="T906" s="32"/>
      <x:c r="U906" s="32"/>
      <x:c r="V906" s="32"/>
      <x:c r="W906" s="32"/>
      <x:c r="X906" s="32"/>
      <x:c r="Y906" s="43" t="str">
        <x:f>IF(OR(X906="",X906="Pending"),"",IF(X906="Rejected",0,IF(AND(U906="Ya",V906="Ya",W906="Ya"),1,"")))</x:f>
      </x:c>
      <x:c r="AA906" s="32"/>
      <x:c r="AB906" s="32"/>
      <x:c r="AC906" s="32"/>
      <x:c r="AD906" s="32"/>
      <x:c r="AE906" s="32"/>
      <x:c r="AF906" s="32"/>
      <x:c r="AG906" s="33" t="str">
        <x:f>IF(OR(AE906="",AF906=""),"",IF(AE906="Positif",IF(AF906="Positif","TP","FN"),IF(AF906="Positif","FP","TN")))</x:f>
      </x:c>
    </x:row>
    <x:row r="907">
      <x:c r="A907" s="32"/>
      <x:c r="B907" s="32"/>
      <x:c r="C907" s="32"/>
      <x:c r="D907" s="35"/>
      <x:c r="E907" s="32"/>
      <x:c r="F907" s="32"/>
      <x:c r="G907" s="32"/>
      <x:c r="H907" s="32"/>
      <x:c r="I907" s="32"/>
      <x:c r="J907" s="32"/>
      <x:c r="K907" s="32"/>
      <x:c r="L907" s="32"/>
      <x:c r="M907" s="32"/>
      <x:c r="N907" s="37"/>
      <x:c r="O907" s="32"/>
      <x:c r="P907" s="40"/>
      <x:c r="Q907" s="40"/>
      <x:c r="R907" s="41" t="str">
        <x:f>IF(OR(P907="",Q907=""),"",P907-Q907)</x:f>
      </x:c>
      <x:c r="S907" s="32"/>
      <x:c r="T907" s="32"/>
      <x:c r="U907" s="32"/>
      <x:c r="V907" s="32"/>
      <x:c r="W907" s="32"/>
      <x:c r="X907" s="32"/>
      <x:c r="Y907" s="43" t="str">
        <x:f>IF(OR(X907="",X907="Pending"),"",IF(X907="Rejected",0,IF(AND(U907="Ya",V907="Ya",W907="Ya"),1,"")))</x:f>
      </x:c>
      <x:c r="AA907" s="32"/>
      <x:c r="AB907" s="32"/>
      <x:c r="AC907" s="32"/>
      <x:c r="AD907" s="32"/>
      <x:c r="AE907" s="32"/>
      <x:c r="AF907" s="32"/>
      <x:c r="AG907" s="33" t="str">
        <x:f>IF(OR(AE907="",AF907=""),"",IF(AE907="Positif",IF(AF907="Positif","TP","FN"),IF(AF907="Positif","FP","TN")))</x:f>
      </x:c>
    </x:row>
    <x:row r="908">
      <x:c r="A908" s="32"/>
      <x:c r="B908" s="32"/>
      <x:c r="C908" s="32"/>
      <x:c r="D908" s="35"/>
      <x:c r="E908" s="32"/>
      <x:c r="F908" s="32"/>
      <x:c r="G908" s="32"/>
      <x:c r="H908" s="32"/>
      <x:c r="I908" s="32"/>
      <x:c r="J908" s="32"/>
      <x:c r="K908" s="32"/>
      <x:c r="L908" s="32"/>
      <x:c r="M908" s="32"/>
      <x:c r="N908" s="37"/>
      <x:c r="O908" s="32"/>
      <x:c r="P908" s="40"/>
      <x:c r="Q908" s="40"/>
      <x:c r="R908" s="41" t="str">
        <x:f>IF(OR(P908="",Q908=""),"",P908-Q908)</x:f>
      </x:c>
      <x:c r="S908" s="32"/>
      <x:c r="T908" s="32"/>
      <x:c r="U908" s="32"/>
      <x:c r="V908" s="32"/>
      <x:c r="W908" s="32"/>
      <x:c r="X908" s="32"/>
      <x:c r="Y908" s="43" t="str">
        <x:f>IF(OR(X908="",X908="Pending"),"",IF(X908="Rejected",0,IF(AND(U908="Ya",V908="Ya",W908="Ya"),1,"")))</x:f>
      </x:c>
      <x:c r="AA908" s="32"/>
      <x:c r="AB908" s="32"/>
      <x:c r="AC908" s="32"/>
      <x:c r="AD908" s="32"/>
      <x:c r="AE908" s="32"/>
      <x:c r="AF908" s="32"/>
      <x:c r="AG908" s="33" t="str">
        <x:f>IF(OR(AE908="",AF908=""),"",IF(AE908="Positif",IF(AF908="Positif","TP","FN"),IF(AF908="Positif","FP","TN")))</x:f>
      </x:c>
    </x:row>
    <x:row r="909">
      <x:c r="A909" s="32"/>
      <x:c r="B909" s="32"/>
      <x:c r="C909" s="32"/>
      <x:c r="D909" s="35"/>
      <x:c r="E909" s="32"/>
      <x:c r="F909" s="32"/>
      <x:c r="G909" s="32"/>
      <x:c r="H909" s="32"/>
      <x:c r="I909" s="32"/>
      <x:c r="J909" s="32"/>
      <x:c r="K909" s="32"/>
      <x:c r="L909" s="32"/>
      <x:c r="M909" s="32"/>
      <x:c r="N909" s="37"/>
      <x:c r="O909" s="32"/>
      <x:c r="P909" s="40"/>
      <x:c r="Q909" s="40"/>
      <x:c r="R909" s="41" t="str">
        <x:f>IF(OR(P909="",Q909=""),"",P909-Q909)</x:f>
      </x:c>
      <x:c r="S909" s="32"/>
      <x:c r="T909" s="32"/>
      <x:c r="U909" s="32"/>
      <x:c r="V909" s="32"/>
      <x:c r="W909" s="32"/>
      <x:c r="X909" s="32"/>
      <x:c r="Y909" s="43" t="str">
        <x:f>IF(OR(X909="",X909="Pending"),"",IF(X909="Rejected",0,IF(AND(U909="Ya",V909="Ya",W909="Ya"),1,"")))</x:f>
      </x:c>
      <x:c r="AA909" s="32"/>
      <x:c r="AB909" s="32"/>
      <x:c r="AC909" s="32"/>
      <x:c r="AD909" s="32"/>
      <x:c r="AE909" s="32"/>
      <x:c r="AF909" s="32"/>
      <x:c r="AG909" s="33" t="str">
        <x:f>IF(OR(AE909="",AF909=""),"",IF(AE909="Positif",IF(AF909="Positif","TP","FN"),IF(AF909="Positif","FP","TN")))</x:f>
      </x:c>
    </x:row>
    <x:row r="910">
      <x:c r="A910" s="32"/>
      <x:c r="B910" s="32"/>
      <x:c r="C910" s="32"/>
      <x:c r="D910" s="35"/>
      <x:c r="E910" s="32"/>
      <x:c r="F910" s="32"/>
      <x:c r="G910" s="32"/>
      <x:c r="H910" s="32"/>
      <x:c r="I910" s="32"/>
      <x:c r="J910" s="32"/>
      <x:c r="K910" s="32"/>
      <x:c r="L910" s="32"/>
      <x:c r="M910" s="32"/>
      <x:c r="N910" s="37"/>
      <x:c r="O910" s="32"/>
      <x:c r="P910" s="40"/>
      <x:c r="Q910" s="40"/>
      <x:c r="R910" s="41" t="str">
        <x:f>IF(OR(P910="",Q910=""),"",P910-Q910)</x:f>
      </x:c>
      <x:c r="S910" s="32"/>
      <x:c r="T910" s="32"/>
      <x:c r="U910" s="32"/>
      <x:c r="V910" s="32"/>
      <x:c r="W910" s="32"/>
      <x:c r="X910" s="32"/>
      <x:c r="Y910" s="43" t="str">
        <x:f>IF(OR(X910="",X910="Pending"),"",IF(X910="Rejected",0,IF(AND(U910="Ya",V910="Ya",W910="Ya"),1,"")))</x:f>
      </x:c>
      <x:c r="AA910" s="32"/>
      <x:c r="AB910" s="32"/>
      <x:c r="AC910" s="32"/>
      <x:c r="AD910" s="32"/>
      <x:c r="AE910" s="32"/>
      <x:c r="AF910" s="32"/>
      <x:c r="AG910" s="33" t="str">
        <x:f>IF(OR(AE910="",AF910=""),"",IF(AE910="Positif",IF(AF910="Positif","TP","FN"),IF(AF910="Positif","FP","TN")))</x:f>
      </x:c>
    </x:row>
    <x:row r="911">
      <x:c r="A911" s="32"/>
      <x:c r="B911" s="32"/>
      <x:c r="C911" s="32"/>
      <x:c r="D911" s="35"/>
      <x:c r="E911" s="32"/>
      <x:c r="F911" s="32"/>
      <x:c r="G911" s="32"/>
      <x:c r="H911" s="32"/>
      <x:c r="I911" s="32"/>
      <x:c r="J911" s="32"/>
      <x:c r="K911" s="32"/>
      <x:c r="L911" s="32"/>
      <x:c r="M911" s="32"/>
      <x:c r="N911" s="37"/>
      <x:c r="O911" s="32"/>
      <x:c r="P911" s="40"/>
      <x:c r="Q911" s="40"/>
      <x:c r="R911" s="41" t="str">
        <x:f>IF(OR(P911="",Q911=""),"",P911-Q911)</x:f>
      </x:c>
      <x:c r="S911" s="32"/>
      <x:c r="T911" s="32"/>
      <x:c r="U911" s="32"/>
      <x:c r="V911" s="32"/>
      <x:c r="W911" s="32"/>
      <x:c r="X911" s="32"/>
      <x:c r="Y911" s="43" t="str">
        <x:f>IF(OR(X911="",X911="Pending"),"",IF(X911="Rejected",0,IF(AND(U911="Ya",V911="Ya",W911="Ya"),1,"")))</x:f>
      </x:c>
      <x:c r="AA911" s="32"/>
      <x:c r="AB911" s="32"/>
      <x:c r="AC911" s="32"/>
      <x:c r="AD911" s="32"/>
      <x:c r="AE911" s="32"/>
      <x:c r="AF911" s="32"/>
      <x:c r="AG911" s="33" t="str">
        <x:f>IF(OR(AE911="",AF911=""),"",IF(AE911="Positif",IF(AF911="Positif","TP","FN"),IF(AF911="Positif","FP","TN")))</x:f>
      </x:c>
    </x:row>
    <x:row r="912">
      <x:c r="A912" s="32"/>
      <x:c r="B912" s="32"/>
      <x:c r="C912" s="32"/>
      <x:c r="D912" s="35"/>
      <x:c r="E912" s="32"/>
      <x:c r="F912" s="32"/>
      <x:c r="G912" s="32"/>
      <x:c r="H912" s="32"/>
      <x:c r="I912" s="32"/>
      <x:c r="J912" s="32"/>
      <x:c r="K912" s="32"/>
      <x:c r="L912" s="32"/>
      <x:c r="M912" s="32"/>
      <x:c r="N912" s="37"/>
      <x:c r="O912" s="32"/>
      <x:c r="P912" s="40"/>
      <x:c r="Q912" s="40"/>
      <x:c r="R912" s="41" t="str">
        <x:f>IF(OR(P912="",Q912=""),"",P912-Q912)</x:f>
      </x:c>
      <x:c r="S912" s="32"/>
      <x:c r="T912" s="32"/>
      <x:c r="U912" s="32"/>
      <x:c r="V912" s="32"/>
      <x:c r="W912" s="32"/>
      <x:c r="X912" s="32"/>
      <x:c r="Y912" s="43" t="str">
        <x:f>IF(OR(X912="",X912="Pending"),"",IF(X912="Rejected",0,IF(AND(U912="Ya",V912="Ya",W912="Ya"),1,"")))</x:f>
      </x:c>
      <x:c r="AA912" s="32"/>
      <x:c r="AB912" s="32"/>
      <x:c r="AC912" s="32"/>
      <x:c r="AD912" s="32"/>
      <x:c r="AE912" s="32"/>
      <x:c r="AF912" s="32"/>
      <x:c r="AG912" s="33" t="str">
        <x:f>IF(OR(AE912="",AF912=""),"",IF(AE912="Positif",IF(AF912="Positif","TP","FN"),IF(AF912="Positif","FP","TN")))</x:f>
      </x:c>
    </x:row>
    <x:row r="913">
      <x:c r="A913" s="32"/>
      <x:c r="B913" s="32"/>
      <x:c r="C913" s="32"/>
      <x:c r="D913" s="35"/>
      <x:c r="E913" s="32"/>
      <x:c r="F913" s="32"/>
      <x:c r="G913" s="32"/>
      <x:c r="H913" s="32"/>
      <x:c r="I913" s="32"/>
      <x:c r="J913" s="32"/>
      <x:c r="K913" s="32"/>
      <x:c r="L913" s="32"/>
      <x:c r="M913" s="32"/>
      <x:c r="N913" s="37"/>
      <x:c r="O913" s="32"/>
      <x:c r="P913" s="40"/>
      <x:c r="Q913" s="40"/>
      <x:c r="R913" s="41" t="str">
        <x:f>IF(OR(P913="",Q913=""),"",P913-Q913)</x:f>
      </x:c>
      <x:c r="S913" s="32"/>
      <x:c r="T913" s="32"/>
      <x:c r="U913" s="32"/>
      <x:c r="V913" s="32"/>
      <x:c r="W913" s="32"/>
      <x:c r="X913" s="32"/>
      <x:c r="Y913" s="43" t="str">
        <x:f>IF(OR(X913="",X913="Pending"),"",IF(X913="Rejected",0,IF(AND(U913="Ya",V913="Ya",W913="Ya"),1,"")))</x:f>
      </x:c>
      <x:c r="AA913" s="32"/>
      <x:c r="AB913" s="32"/>
      <x:c r="AC913" s="32"/>
      <x:c r="AD913" s="32"/>
      <x:c r="AE913" s="32"/>
      <x:c r="AF913" s="32"/>
      <x:c r="AG913" s="33" t="str">
        <x:f>IF(OR(AE913="",AF913=""),"",IF(AE913="Positif",IF(AF913="Positif","TP","FN"),IF(AF913="Positif","FP","TN")))</x:f>
      </x:c>
    </x:row>
    <x:row r="914">
      <x:c r="A914" s="32"/>
      <x:c r="B914" s="32"/>
      <x:c r="C914" s="32"/>
      <x:c r="D914" s="35"/>
      <x:c r="E914" s="32"/>
      <x:c r="F914" s="32"/>
      <x:c r="G914" s="32"/>
      <x:c r="H914" s="32"/>
      <x:c r="I914" s="32"/>
      <x:c r="J914" s="32"/>
      <x:c r="K914" s="32"/>
      <x:c r="L914" s="32"/>
      <x:c r="M914" s="32"/>
      <x:c r="N914" s="37"/>
      <x:c r="O914" s="32"/>
      <x:c r="P914" s="40"/>
      <x:c r="Q914" s="40"/>
      <x:c r="R914" s="41" t="str">
        <x:f>IF(OR(P914="",Q914=""),"",P914-Q914)</x:f>
      </x:c>
      <x:c r="S914" s="32"/>
      <x:c r="T914" s="32"/>
      <x:c r="U914" s="32"/>
      <x:c r="V914" s="32"/>
      <x:c r="W914" s="32"/>
      <x:c r="X914" s="32"/>
      <x:c r="Y914" s="43" t="str">
        <x:f>IF(OR(X914="",X914="Pending"),"",IF(X914="Rejected",0,IF(AND(U914="Ya",V914="Ya",W914="Ya"),1,"")))</x:f>
      </x:c>
      <x:c r="AA914" s="32"/>
      <x:c r="AB914" s="32"/>
      <x:c r="AC914" s="32"/>
      <x:c r="AD914" s="32"/>
      <x:c r="AE914" s="32"/>
      <x:c r="AF914" s="32"/>
      <x:c r="AG914" s="33" t="str">
        <x:f>IF(OR(AE914="",AF914=""),"",IF(AE914="Positif",IF(AF914="Positif","TP","FN"),IF(AF914="Positif","FP","TN")))</x:f>
      </x:c>
    </x:row>
    <x:row r="915">
      <x:c r="A915" s="32"/>
      <x:c r="B915" s="32"/>
      <x:c r="C915" s="32"/>
      <x:c r="D915" s="35"/>
      <x:c r="E915" s="32"/>
      <x:c r="F915" s="32"/>
      <x:c r="G915" s="32"/>
      <x:c r="H915" s="32"/>
      <x:c r="I915" s="32"/>
      <x:c r="J915" s="32"/>
      <x:c r="K915" s="32"/>
      <x:c r="L915" s="32"/>
      <x:c r="M915" s="32"/>
      <x:c r="N915" s="37"/>
      <x:c r="O915" s="32"/>
      <x:c r="P915" s="40"/>
      <x:c r="Q915" s="40"/>
      <x:c r="R915" s="41" t="str">
        <x:f>IF(OR(P915="",Q915=""),"",P915-Q915)</x:f>
      </x:c>
      <x:c r="S915" s="32"/>
      <x:c r="T915" s="32"/>
      <x:c r="U915" s="32"/>
      <x:c r="V915" s="32"/>
      <x:c r="W915" s="32"/>
      <x:c r="X915" s="32"/>
      <x:c r="Y915" s="43" t="str">
        <x:f>IF(OR(X915="",X915="Pending"),"",IF(X915="Rejected",0,IF(AND(U915="Ya",V915="Ya",W915="Ya"),1,"")))</x:f>
      </x:c>
      <x:c r="AA915" s="32"/>
      <x:c r="AB915" s="32"/>
      <x:c r="AC915" s="32"/>
      <x:c r="AD915" s="32"/>
      <x:c r="AE915" s="32"/>
      <x:c r="AF915" s="32"/>
      <x:c r="AG915" s="33" t="str">
        <x:f>IF(OR(AE915="",AF915=""),"",IF(AE915="Positif",IF(AF915="Positif","TP","FN"),IF(AF915="Positif","FP","TN")))</x:f>
      </x:c>
    </x:row>
    <x:row r="916">
      <x:c r="A916" s="32"/>
      <x:c r="B916" s="32"/>
      <x:c r="C916" s="32"/>
      <x:c r="D916" s="35"/>
      <x:c r="E916" s="32"/>
      <x:c r="F916" s="32"/>
      <x:c r="G916" s="32"/>
      <x:c r="H916" s="32"/>
      <x:c r="I916" s="32"/>
      <x:c r="J916" s="32"/>
      <x:c r="K916" s="32"/>
      <x:c r="L916" s="32"/>
      <x:c r="M916" s="32"/>
      <x:c r="N916" s="37"/>
      <x:c r="O916" s="32"/>
      <x:c r="P916" s="40"/>
      <x:c r="Q916" s="40"/>
      <x:c r="R916" s="41" t="str">
        <x:f>IF(OR(P916="",Q916=""),"",P916-Q916)</x:f>
      </x:c>
      <x:c r="S916" s="32"/>
      <x:c r="T916" s="32"/>
      <x:c r="U916" s="32"/>
      <x:c r="V916" s="32"/>
      <x:c r="W916" s="32"/>
      <x:c r="X916" s="32"/>
      <x:c r="Y916" s="43" t="str">
        <x:f>IF(OR(X916="",X916="Pending"),"",IF(X916="Rejected",0,IF(AND(U916="Ya",V916="Ya",W916="Ya"),1,"")))</x:f>
      </x:c>
      <x:c r="AA916" s="32"/>
      <x:c r="AB916" s="32"/>
      <x:c r="AC916" s="32"/>
      <x:c r="AD916" s="32"/>
      <x:c r="AE916" s="32"/>
      <x:c r="AF916" s="32"/>
      <x:c r="AG916" s="33" t="str">
        <x:f>IF(OR(AE916="",AF916=""),"",IF(AE916="Positif",IF(AF916="Positif","TP","FN"),IF(AF916="Positif","FP","TN")))</x:f>
      </x:c>
    </x:row>
    <x:row r="917">
      <x:c r="A917" s="32"/>
      <x:c r="B917" s="32"/>
      <x:c r="C917" s="32"/>
      <x:c r="D917" s="35"/>
      <x:c r="E917" s="32"/>
      <x:c r="F917" s="32"/>
      <x:c r="G917" s="32"/>
      <x:c r="H917" s="32"/>
      <x:c r="I917" s="32"/>
      <x:c r="J917" s="32"/>
      <x:c r="K917" s="32"/>
      <x:c r="L917" s="32"/>
      <x:c r="M917" s="32"/>
      <x:c r="N917" s="37"/>
      <x:c r="O917" s="32"/>
      <x:c r="P917" s="40"/>
      <x:c r="Q917" s="40"/>
      <x:c r="R917" s="41" t="str">
        <x:f>IF(OR(P917="",Q917=""),"",P917-Q917)</x:f>
      </x:c>
      <x:c r="S917" s="32"/>
      <x:c r="T917" s="32"/>
      <x:c r="U917" s="32"/>
      <x:c r="V917" s="32"/>
      <x:c r="W917" s="32"/>
      <x:c r="X917" s="32"/>
      <x:c r="Y917" s="43" t="str">
        <x:f>IF(OR(X917="",X917="Pending"),"",IF(X917="Rejected",0,IF(AND(U917="Ya",V917="Ya",W917="Ya"),1,"")))</x:f>
      </x:c>
      <x:c r="AA917" s="32"/>
      <x:c r="AB917" s="32"/>
      <x:c r="AC917" s="32"/>
      <x:c r="AD917" s="32"/>
      <x:c r="AE917" s="32"/>
      <x:c r="AF917" s="32"/>
      <x:c r="AG917" s="33" t="str">
        <x:f>IF(OR(AE917="",AF917=""),"",IF(AE917="Positif",IF(AF917="Positif","TP","FN"),IF(AF917="Positif","FP","TN")))</x:f>
      </x:c>
    </x:row>
    <x:row r="918">
      <x:c r="A918" s="32"/>
      <x:c r="B918" s="32"/>
      <x:c r="C918" s="32"/>
      <x:c r="D918" s="35"/>
      <x:c r="E918" s="32"/>
      <x:c r="F918" s="32"/>
      <x:c r="G918" s="32"/>
      <x:c r="H918" s="32"/>
      <x:c r="I918" s="32"/>
      <x:c r="J918" s="32"/>
      <x:c r="K918" s="32"/>
      <x:c r="L918" s="32"/>
      <x:c r="M918" s="32"/>
      <x:c r="N918" s="37"/>
      <x:c r="O918" s="32"/>
      <x:c r="P918" s="40"/>
      <x:c r="Q918" s="40"/>
      <x:c r="R918" s="41" t="str">
        <x:f>IF(OR(P918="",Q918=""),"",P918-Q918)</x:f>
      </x:c>
      <x:c r="S918" s="32"/>
      <x:c r="T918" s="32"/>
      <x:c r="U918" s="32"/>
      <x:c r="V918" s="32"/>
      <x:c r="W918" s="32"/>
      <x:c r="X918" s="32"/>
      <x:c r="Y918" s="43" t="str">
        <x:f>IF(OR(X918="",X918="Pending"),"",IF(X918="Rejected",0,IF(AND(U918="Ya",V918="Ya",W918="Ya"),1,"")))</x:f>
      </x:c>
      <x:c r="AA918" s="32"/>
      <x:c r="AB918" s="32"/>
      <x:c r="AC918" s="32"/>
      <x:c r="AD918" s="32"/>
      <x:c r="AE918" s="32"/>
      <x:c r="AF918" s="32"/>
      <x:c r="AG918" s="33" t="str">
        <x:f>IF(OR(AE918="",AF918=""),"",IF(AE918="Positif",IF(AF918="Positif","TP","FN"),IF(AF918="Positif","FP","TN")))</x:f>
      </x:c>
    </x:row>
    <x:row r="919">
      <x:c r="A919" s="32"/>
      <x:c r="B919" s="32"/>
      <x:c r="C919" s="32"/>
      <x:c r="D919" s="35"/>
      <x:c r="E919" s="32"/>
      <x:c r="F919" s="32"/>
      <x:c r="G919" s="32"/>
      <x:c r="H919" s="32"/>
      <x:c r="I919" s="32"/>
      <x:c r="J919" s="32"/>
      <x:c r="K919" s="32"/>
      <x:c r="L919" s="32"/>
      <x:c r="M919" s="32"/>
      <x:c r="N919" s="37"/>
      <x:c r="O919" s="32"/>
      <x:c r="P919" s="40"/>
      <x:c r="Q919" s="40"/>
      <x:c r="R919" s="41" t="str">
        <x:f>IF(OR(P919="",Q919=""),"",P919-Q919)</x:f>
      </x:c>
      <x:c r="S919" s="32"/>
      <x:c r="T919" s="32"/>
      <x:c r="U919" s="32"/>
      <x:c r="V919" s="32"/>
      <x:c r="W919" s="32"/>
      <x:c r="X919" s="32"/>
      <x:c r="Y919" s="43" t="str">
        <x:f>IF(OR(X919="",X919="Pending"),"",IF(X919="Rejected",0,IF(AND(U919="Ya",V919="Ya",W919="Ya"),1,"")))</x:f>
      </x:c>
      <x:c r="AA919" s="32"/>
      <x:c r="AB919" s="32"/>
      <x:c r="AC919" s="32"/>
      <x:c r="AD919" s="32"/>
      <x:c r="AE919" s="32"/>
      <x:c r="AF919" s="32"/>
      <x:c r="AG919" s="33" t="str">
        <x:f>IF(OR(AE919="",AF919=""),"",IF(AE919="Positif",IF(AF919="Positif","TP","FN"),IF(AF919="Positif","FP","TN")))</x:f>
      </x:c>
    </x:row>
    <x:row r="920">
      <x:c r="A920" s="32"/>
      <x:c r="B920" s="32"/>
      <x:c r="C920" s="32"/>
      <x:c r="D920" s="35"/>
      <x:c r="E920" s="32"/>
      <x:c r="F920" s="32"/>
      <x:c r="G920" s="32"/>
      <x:c r="H920" s="32"/>
      <x:c r="I920" s="32"/>
      <x:c r="J920" s="32"/>
      <x:c r="K920" s="32"/>
      <x:c r="L920" s="32"/>
      <x:c r="M920" s="32"/>
      <x:c r="N920" s="37"/>
      <x:c r="O920" s="32"/>
      <x:c r="P920" s="40"/>
      <x:c r="Q920" s="40"/>
      <x:c r="R920" s="41" t="str">
        <x:f>IF(OR(P920="",Q920=""),"",P920-Q920)</x:f>
      </x:c>
      <x:c r="S920" s="32"/>
      <x:c r="T920" s="32"/>
      <x:c r="U920" s="32"/>
      <x:c r="V920" s="32"/>
      <x:c r="W920" s="32"/>
      <x:c r="X920" s="32"/>
      <x:c r="Y920" s="43" t="str">
        <x:f>IF(OR(X920="",X920="Pending"),"",IF(X920="Rejected",0,IF(AND(U920="Ya",V920="Ya",W920="Ya"),1,"")))</x:f>
      </x:c>
      <x:c r="AA920" s="32"/>
      <x:c r="AB920" s="32"/>
      <x:c r="AC920" s="32"/>
      <x:c r="AD920" s="32"/>
      <x:c r="AE920" s="32"/>
      <x:c r="AF920" s="32"/>
      <x:c r="AG920" s="33" t="str">
        <x:f>IF(OR(AE920="",AF920=""),"",IF(AE920="Positif",IF(AF920="Positif","TP","FN"),IF(AF920="Positif","FP","TN")))</x:f>
      </x:c>
    </x:row>
    <x:row r="921">
      <x:c r="A921" s="32"/>
      <x:c r="B921" s="32"/>
      <x:c r="C921" s="32"/>
      <x:c r="D921" s="35"/>
      <x:c r="E921" s="32"/>
      <x:c r="F921" s="32"/>
      <x:c r="G921" s="32"/>
      <x:c r="H921" s="32"/>
      <x:c r="I921" s="32"/>
      <x:c r="J921" s="32"/>
      <x:c r="K921" s="32"/>
      <x:c r="L921" s="32"/>
      <x:c r="M921" s="32"/>
      <x:c r="N921" s="37"/>
      <x:c r="O921" s="32"/>
      <x:c r="P921" s="40"/>
      <x:c r="Q921" s="40"/>
      <x:c r="R921" s="41" t="str">
        <x:f>IF(OR(P921="",Q921=""),"",P921-Q921)</x:f>
      </x:c>
      <x:c r="S921" s="32"/>
      <x:c r="T921" s="32"/>
      <x:c r="U921" s="32"/>
      <x:c r="V921" s="32"/>
      <x:c r="W921" s="32"/>
      <x:c r="X921" s="32"/>
      <x:c r="Y921" s="43" t="str">
        <x:f>IF(OR(X921="",X921="Pending"),"",IF(X921="Rejected",0,IF(AND(U921="Ya",V921="Ya",W921="Ya"),1,"")))</x:f>
      </x:c>
      <x:c r="AA921" s="32"/>
      <x:c r="AB921" s="32"/>
      <x:c r="AC921" s="32"/>
      <x:c r="AD921" s="32"/>
      <x:c r="AE921" s="32"/>
      <x:c r="AF921" s="32"/>
      <x:c r="AG921" s="33" t="str">
        <x:f>IF(OR(AE921="",AF921=""),"",IF(AE921="Positif",IF(AF921="Positif","TP","FN"),IF(AF921="Positif","FP","TN")))</x:f>
      </x:c>
    </x:row>
    <x:row r="922">
      <x:c r="A922" s="32"/>
      <x:c r="B922" s="32"/>
      <x:c r="C922" s="32"/>
      <x:c r="D922" s="35"/>
      <x:c r="E922" s="32"/>
      <x:c r="F922" s="32"/>
      <x:c r="G922" s="32"/>
      <x:c r="H922" s="32"/>
      <x:c r="I922" s="32"/>
      <x:c r="J922" s="32"/>
      <x:c r="K922" s="32"/>
      <x:c r="L922" s="32"/>
      <x:c r="M922" s="32"/>
      <x:c r="N922" s="37"/>
      <x:c r="O922" s="32"/>
      <x:c r="P922" s="40"/>
      <x:c r="Q922" s="40"/>
      <x:c r="R922" s="41" t="str">
        <x:f>IF(OR(P922="",Q922=""),"",P922-Q922)</x:f>
      </x:c>
      <x:c r="S922" s="32"/>
      <x:c r="T922" s="32"/>
      <x:c r="U922" s="32"/>
      <x:c r="V922" s="32"/>
      <x:c r="W922" s="32"/>
      <x:c r="X922" s="32"/>
      <x:c r="Y922" s="43" t="str">
        <x:f>IF(OR(X922="",X922="Pending"),"",IF(X922="Rejected",0,IF(AND(U922="Ya",V922="Ya",W922="Ya"),1,"")))</x:f>
      </x:c>
      <x:c r="AA922" s="32"/>
      <x:c r="AB922" s="32"/>
      <x:c r="AC922" s="32"/>
      <x:c r="AD922" s="32"/>
      <x:c r="AE922" s="32"/>
      <x:c r="AF922" s="32"/>
      <x:c r="AG922" s="33" t="str">
        <x:f>IF(OR(AE922="",AF922=""),"",IF(AE922="Positif",IF(AF922="Positif","TP","FN"),IF(AF922="Positif","FP","TN")))</x:f>
      </x:c>
    </x:row>
    <x:row r="923">
      <x:c r="A923" s="32"/>
      <x:c r="B923" s="32"/>
      <x:c r="C923" s="32"/>
      <x:c r="D923" s="35"/>
      <x:c r="E923" s="32"/>
      <x:c r="F923" s="32"/>
      <x:c r="G923" s="32"/>
      <x:c r="H923" s="32"/>
      <x:c r="I923" s="32"/>
      <x:c r="J923" s="32"/>
      <x:c r="K923" s="32"/>
      <x:c r="L923" s="32"/>
      <x:c r="M923" s="32"/>
      <x:c r="N923" s="37"/>
      <x:c r="O923" s="32"/>
      <x:c r="P923" s="40"/>
      <x:c r="Q923" s="40"/>
      <x:c r="R923" s="41" t="str">
        <x:f>IF(OR(P923="",Q923=""),"",P923-Q923)</x:f>
      </x:c>
      <x:c r="S923" s="32"/>
      <x:c r="T923" s="32"/>
      <x:c r="U923" s="32"/>
      <x:c r="V923" s="32"/>
      <x:c r="W923" s="32"/>
      <x:c r="X923" s="32"/>
      <x:c r="Y923" s="43" t="str">
        <x:f>IF(OR(X923="",X923="Pending"),"",IF(X923="Rejected",0,IF(AND(U923="Ya",V923="Ya",W923="Ya"),1,"")))</x:f>
      </x:c>
      <x:c r="AA923" s="32"/>
      <x:c r="AB923" s="32"/>
      <x:c r="AC923" s="32"/>
      <x:c r="AD923" s="32"/>
      <x:c r="AE923" s="32"/>
      <x:c r="AF923" s="32"/>
      <x:c r="AG923" s="33" t="str">
        <x:f>IF(OR(AE923="",AF923=""),"",IF(AE923="Positif",IF(AF923="Positif","TP","FN"),IF(AF923="Positif","FP","TN")))</x:f>
      </x:c>
    </x:row>
    <x:row r="924">
      <x:c r="A924" s="32"/>
      <x:c r="B924" s="32"/>
      <x:c r="C924" s="32"/>
      <x:c r="D924" s="35"/>
      <x:c r="E924" s="32"/>
      <x:c r="F924" s="32"/>
      <x:c r="G924" s="32"/>
      <x:c r="H924" s="32"/>
      <x:c r="I924" s="32"/>
      <x:c r="J924" s="32"/>
      <x:c r="K924" s="32"/>
      <x:c r="L924" s="32"/>
      <x:c r="M924" s="32"/>
      <x:c r="N924" s="37"/>
      <x:c r="O924" s="32"/>
      <x:c r="P924" s="40"/>
      <x:c r="Q924" s="40"/>
      <x:c r="R924" s="41" t="str">
        <x:f>IF(OR(P924="",Q924=""),"",P924-Q924)</x:f>
      </x:c>
      <x:c r="S924" s="32"/>
      <x:c r="T924" s="32"/>
      <x:c r="U924" s="32"/>
      <x:c r="V924" s="32"/>
      <x:c r="W924" s="32"/>
      <x:c r="X924" s="32"/>
      <x:c r="Y924" s="43" t="str">
        <x:f>IF(OR(X924="",X924="Pending"),"",IF(X924="Rejected",0,IF(AND(U924="Ya",V924="Ya",W924="Ya"),1,"")))</x:f>
      </x:c>
      <x:c r="AA924" s="32"/>
      <x:c r="AB924" s="32"/>
      <x:c r="AC924" s="32"/>
      <x:c r="AD924" s="32"/>
      <x:c r="AE924" s="32"/>
      <x:c r="AF924" s="32"/>
      <x:c r="AG924" s="33" t="str">
        <x:f>IF(OR(AE924="",AF924=""),"",IF(AE924="Positif",IF(AF924="Positif","TP","FN"),IF(AF924="Positif","FP","TN")))</x:f>
      </x:c>
    </x:row>
    <x:row r="925">
      <x:c r="A925" s="32"/>
      <x:c r="B925" s="32"/>
      <x:c r="C925" s="32"/>
      <x:c r="D925" s="35"/>
      <x:c r="E925" s="32"/>
      <x:c r="F925" s="32"/>
      <x:c r="G925" s="32"/>
      <x:c r="H925" s="32"/>
      <x:c r="I925" s="32"/>
      <x:c r="J925" s="32"/>
      <x:c r="K925" s="32"/>
      <x:c r="L925" s="32"/>
      <x:c r="M925" s="32"/>
      <x:c r="N925" s="37"/>
      <x:c r="O925" s="32"/>
      <x:c r="P925" s="40"/>
      <x:c r="Q925" s="40"/>
      <x:c r="R925" s="41" t="str">
        <x:f>IF(OR(P925="",Q925=""),"",P925-Q925)</x:f>
      </x:c>
      <x:c r="S925" s="32"/>
      <x:c r="T925" s="32"/>
      <x:c r="U925" s="32"/>
      <x:c r="V925" s="32"/>
      <x:c r="W925" s="32"/>
      <x:c r="X925" s="32"/>
      <x:c r="Y925" s="43" t="str">
        <x:f>IF(OR(X925="",X925="Pending"),"",IF(X925="Rejected",0,IF(AND(U925="Ya",V925="Ya",W925="Ya"),1,"")))</x:f>
      </x:c>
      <x:c r="AA925" s="32"/>
      <x:c r="AB925" s="32"/>
      <x:c r="AC925" s="32"/>
      <x:c r="AD925" s="32"/>
      <x:c r="AE925" s="32"/>
      <x:c r="AF925" s="32"/>
      <x:c r="AG925" s="33" t="str">
        <x:f>IF(OR(AE925="",AF925=""),"",IF(AE925="Positif",IF(AF925="Positif","TP","FN"),IF(AF925="Positif","FP","TN")))</x:f>
      </x:c>
    </x:row>
    <x:row r="926">
      <x:c r="A926" s="32"/>
      <x:c r="B926" s="32"/>
      <x:c r="C926" s="32"/>
      <x:c r="D926" s="35"/>
      <x:c r="E926" s="32"/>
      <x:c r="F926" s="32"/>
      <x:c r="G926" s="32"/>
      <x:c r="H926" s="32"/>
      <x:c r="I926" s="32"/>
      <x:c r="J926" s="32"/>
      <x:c r="K926" s="32"/>
      <x:c r="L926" s="32"/>
      <x:c r="M926" s="32"/>
      <x:c r="N926" s="37"/>
      <x:c r="O926" s="32"/>
      <x:c r="P926" s="40"/>
      <x:c r="Q926" s="40"/>
      <x:c r="R926" s="41" t="str">
        <x:f>IF(OR(P926="",Q926=""),"",P926-Q926)</x:f>
      </x:c>
      <x:c r="S926" s="32"/>
      <x:c r="T926" s="32"/>
      <x:c r="U926" s="32"/>
      <x:c r="V926" s="32"/>
      <x:c r="W926" s="32"/>
      <x:c r="X926" s="32"/>
      <x:c r="Y926" s="43" t="str">
        <x:f>IF(OR(X926="",X926="Pending"),"",IF(X926="Rejected",0,IF(AND(U926="Ya",V926="Ya",W926="Ya"),1,"")))</x:f>
      </x:c>
      <x:c r="AA926" s="32"/>
      <x:c r="AB926" s="32"/>
      <x:c r="AC926" s="32"/>
      <x:c r="AD926" s="32"/>
      <x:c r="AE926" s="32"/>
      <x:c r="AF926" s="32"/>
      <x:c r="AG926" s="33" t="str">
        <x:f>IF(OR(AE926="",AF926=""),"",IF(AE926="Positif",IF(AF926="Positif","TP","FN"),IF(AF926="Positif","FP","TN")))</x:f>
      </x:c>
    </x:row>
    <x:row r="927">
      <x:c r="A927" s="32"/>
      <x:c r="B927" s="32"/>
      <x:c r="C927" s="32"/>
      <x:c r="D927" s="35"/>
      <x:c r="E927" s="32"/>
      <x:c r="F927" s="32"/>
      <x:c r="G927" s="32"/>
      <x:c r="H927" s="32"/>
      <x:c r="I927" s="32"/>
      <x:c r="J927" s="32"/>
      <x:c r="K927" s="32"/>
      <x:c r="L927" s="32"/>
      <x:c r="M927" s="32"/>
      <x:c r="N927" s="37"/>
      <x:c r="O927" s="32"/>
      <x:c r="P927" s="40"/>
      <x:c r="Q927" s="40"/>
      <x:c r="R927" s="41" t="str">
        <x:f>IF(OR(P927="",Q927=""),"",P927-Q927)</x:f>
      </x:c>
      <x:c r="S927" s="32"/>
      <x:c r="T927" s="32"/>
      <x:c r="U927" s="32"/>
      <x:c r="V927" s="32"/>
      <x:c r="W927" s="32"/>
      <x:c r="X927" s="32"/>
      <x:c r="Y927" s="43" t="str">
        <x:f>IF(OR(X927="",X927="Pending"),"",IF(X927="Rejected",0,IF(AND(U927="Ya",V927="Ya",W927="Ya"),1,"")))</x:f>
      </x:c>
      <x:c r="AA927" s="32"/>
      <x:c r="AB927" s="32"/>
      <x:c r="AC927" s="32"/>
      <x:c r="AD927" s="32"/>
      <x:c r="AE927" s="32"/>
      <x:c r="AF927" s="32"/>
      <x:c r="AG927" s="33" t="str">
        <x:f>IF(OR(AE927="",AF927=""),"",IF(AE927="Positif",IF(AF927="Positif","TP","FN"),IF(AF927="Positif","FP","TN")))</x:f>
      </x:c>
    </x:row>
    <x:row r="928">
      <x:c r="A928" s="32"/>
      <x:c r="B928" s="32"/>
      <x:c r="C928" s="32"/>
      <x:c r="D928" s="35"/>
      <x:c r="E928" s="32"/>
      <x:c r="F928" s="32"/>
      <x:c r="G928" s="32"/>
      <x:c r="H928" s="32"/>
      <x:c r="I928" s="32"/>
      <x:c r="J928" s="32"/>
      <x:c r="K928" s="32"/>
      <x:c r="L928" s="32"/>
      <x:c r="M928" s="32"/>
      <x:c r="N928" s="37"/>
      <x:c r="O928" s="32"/>
      <x:c r="P928" s="40"/>
      <x:c r="Q928" s="40"/>
      <x:c r="R928" s="41" t="str">
        <x:f>IF(OR(P928="",Q928=""),"",P928-Q928)</x:f>
      </x:c>
      <x:c r="S928" s="32"/>
      <x:c r="T928" s="32"/>
      <x:c r="U928" s="32"/>
      <x:c r="V928" s="32"/>
      <x:c r="W928" s="32"/>
      <x:c r="X928" s="32"/>
      <x:c r="Y928" s="43" t="str">
        <x:f>IF(OR(X928="",X928="Pending"),"",IF(X928="Rejected",0,IF(AND(U928="Ya",V928="Ya",W928="Ya"),1,"")))</x:f>
      </x:c>
      <x:c r="AA928" s="32"/>
      <x:c r="AB928" s="32"/>
      <x:c r="AC928" s="32"/>
      <x:c r="AD928" s="32"/>
      <x:c r="AE928" s="32"/>
      <x:c r="AF928" s="32"/>
      <x:c r="AG928" s="33" t="str">
        <x:f>IF(OR(AE928="",AF928=""),"",IF(AE928="Positif",IF(AF928="Positif","TP","FN"),IF(AF928="Positif","FP","TN")))</x:f>
      </x:c>
    </x:row>
    <x:row r="929">
      <x:c r="A929" s="32"/>
      <x:c r="B929" s="32"/>
      <x:c r="C929" s="32"/>
      <x:c r="D929" s="35"/>
      <x:c r="E929" s="32"/>
      <x:c r="F929" s="32"/>
      <x:c r="G929" s="32"/>
      <x:c r="H929" s="32"/>
      <x:c r="I929" s="32"/>
      <x:c r="J929" s="32"/>
      <x:c r="K929" s="32"/>
      <x:c r="L929" s="32"/>
      <x:c r="M929" s="32"/>
      <x:c r="N929" s="37"/>
      <x:c r="O929" s="32"/>
      <x:c r="P929" s="40"/>
      <x:c r="Q929" s="40"/>
      <x:c r="R929" s="41" t="str">
        <x:f>IF(OR(P929="",Q929=""),"",P929-Q929)</x:f>
      </x:c>
      <x:c r="S929" s="32"/>
      <x:c r="T929" s="32"/>
      <x:c r="U929" s="32"/>
      <x:c r="V929" s="32"/>
      <x:c r="W929" s="32"/>
      <x:c r="X929" s="32"/>
      <x:c r="Y929" s="43" t="str">
        <x:f>IF(OR(X929="",X929="Pending"),"",IF(X929="Rejected",0,IF(AND(U929="Ya",V929="Ya",W929="Ya"),1,"")))</x:f>
      </x:c>
      <x:c r="AA929" s="32"/>
      <x:c r="AB929" s="32"/>
      <x:c r="AC929" s="32"/>
      <x:c r="AD929" s="32"/>
      <x:c r="AE929" s="32"/>
      <x:c r="AF929" s="32"/>
      <x:c r="AG929" s="33" t="str">
        <x:f>IF(OR(AE929="",AF929=""),"",IF(AE929="Positif",IF(AF929="Positif","TP","FN"),IF(AF929="Positif","FP","TN")))</x:f>
      </x:c>
    </x:row>
    <x:row r="930">
      <x:c r="A930" s="32"/>
      <x:c r="B930" s="32"/>
      <x:c r="C930" s="32"/>
      <x:c r="D930" s="35"/>
      <x:c r="E930" s="32"/>
      <x:c r="F930" s="32"/>
      <x:c r="G930" s="32"/>
      <x:c r="H930" s="32"/>
      <x:c r="I930" s="32"/>
      <x:c r="J930" s="32"/>
      <x:c r="K930" s="32"/>
      <x:c r="L930" s="32"/>
      <x:c r="M930" s="32"/>
      <x:c r="N930" s="37"/>
      <x:c r="O930" s="32"/>
      <x:c r="P930" s="40"/>
      <x:c r="Q930" s="40"/>
      <x:c r="R930" s="41" t="str">
        <x:f>IF(OR(P930="",Q930=""),"",P930-Q930)</x:f>
      </x:c>
      <x:c r="S930" s="32"/>
      <x:c r="T930" s="32"/>
      <x:c r="U930" s="32"/>
      <x:c r="V930" s="32"/>
      <x:c r="W930" s="32"/>
      <x:c r="X930" s="32"/>
      <x:c r="Y930" s="43" t="str">
        <x:f>IF(OR(X930="",X930="Pending"),"",IF(X930="Rejected",0,IF(AND(U930="Ya",V930="Ya",W930="Ya"),1,"")))</x:f>
      </x:c>
      <x:c r="AA930" s="32"/>
      <x:c r="AB930" s="32"/>
      <x:c r="AC930" s="32"/>
      <x:c r="AD930" s="32"/>
      <x:c r="AE930" s="32"/>
      <x:c r="AF930" s="32"/>
      <x:c r="AG930" s="33" t="str">
        <x:f>IF(OR(AE930="",AF930=""),"",IF(AE930="Positif",IF(AF930="Positif","TP","FN"),IF(AF930="Positif","FP","TN")))</x:f>
      </x:c>
    </x:row>
    <x:row r="931">
      <x:c r="A931" s="32"/>
      <x:c r="B931" s="32"/>
      <x:c r="C931" s="32"/>
      <x:c r="D931" s="35"/>
      <x:c r="E931" s="32"/>
      <x:c r="F931" s="32"/>
      <x:c r="G931" s="32"/>
      <x:c r="H931" s="32"/>
      <x:c r="I931" s="32"/>
      <x:c r="J931" s="32"/>
      <x:c r="K931" s="32"/>
      <x:c r="L931" s="32"/>
      <x:c r="M931" s="32"/>
      <x:c r="N931" s="37"/>
      <x:c r="O931" s="32"/>
      <x:c r="P931" s="40"/>
      <x:c r="Q931" s="40"/>
      <x:c r="R931" s="41" t="str">
        <x:f>IF(OR(P931="",Q931=""),"",P931-Q931)</x:f>
      </x:c>
      <x:c r="S931" s="32"/>
      <x:c r="T931" s="32"/>
      <x:c r="U931" s="32"/>
      <x:c r="V931" s="32"/>
      <x:c r="W931" s="32"/>
      <x:c r="X931" s="32"/>
      <x:c r="Y931" s="43" t="str">
        <x:f>IF(OR(X931="",X931="Pending"),"",IF(X931="Rejected",0,IF(AND(U931="Ya",V931="Ya",W931="Ya"),1,"")))</x:f>
      </x:c>
      <x:c r="AA931" s="32"/>
      <x:c r="AB931" s="32"/>
      <x:c r="AC931" s="32"/>
      <x:c r="AD931" s="32"/>
      <x:c r="AE931" s="32"/>
      <x:c r="AF931" s="32"/>
      <x:c r="AG931" s="33" t="str">
        <x:f>IF(OR(AE931="",AF931=""),"",IF(AE931="Positif",IF(AF931="Positif","TP","FN"),IF(AF931="Positif","FP","TN")))</x:f>
      </x:c>
    </x:row>
    <x:row r="932">
      <x:c r="A932" s="32"/>
      <x:c r="B932" s="32"/>
      <x:c r="C932" s="32"/>
      <x:c r="D932" s="35"/>
      <x:c r="E932" s="32"/>
      <x:c r="F932" s="32"/>
      <x:c r="G932" s="32"/>
      <x:c r="H932" s="32"/>
      <x:c r="I932" s="32"/>
      <x:c r="J932" s="32"/>
      <x:c r="K932" s="32"/>
      <x:c r="L932" s="32"/>
      <x:c r="M932" s="32"/>
      <x:c r="N932" s="37"/>
      <x:c r="O932" s="32"/>
      <x:c r="P932" s="40"/>
      <x:c r="Q932" s="40"/>
      <x:c r="R932" s="41" t="str">
        <x:f>IF(OR(P932="",Q932=""),"",P932-Q932)</x:f>
      </x:c>
      <x:c r="S932" s="32"/>
      <x:c r="T932" s="32"/>
      <x:c r="U932" s="32"/>
      <x:c r="V932" s="32"/>
      <x:c r="W932" s="32"/>
      <x:c r="X932" s="32"/>
      <x:c r="Y932" s="43" t="str">
        <x:f>IF(OR(X932="",X932="Pending"),"",IF(X932="Rejected",0,IF(AND(U932="Ya",V932="Ya",W932="Ya"),1,"")))</x:f>
      </x:c>
      <x:c r="AA932" s="32"/>
      <x:c r="AB932" s="32"/>
      <x:c r="AC932" s="32"/>
      <x:c r="AD932" s="32"/>
      <x:c r="AE932" s="32"/>
      <x:c r="AF932" s="32"/>
      <x:c r="AG932" s="33" t="str">
        <x:f>IF(OR(AE932="",AF932=""),"",IF(AE932="Positif",IF(AF932="Positif","TP","FN"),IF(AF932="Positif","FP","TN")))</x:f>
      </x:c>
    </x:row>
    <x:row r="933">
      <x:c r="A933" s="32"/>
      <x:c r="B933" s="32"/>
      <x:c r="C933" s="32"/>
      <x:c r="D933" s="35"/>
      <x:c r="E933" s="32"/>
      <x:c r="F933" s="32"/>
      <x:c r="G933" s="32"/>
      <x:c r="H933" s="32"/>
      <x:c r="I933" s="32"/>
      <x:c r="J933" s="32"/>
      <x:c r="K933" s="32"/>
      <x:c r="L933" s="32"/>
      <x:c r="M933" s="32"/>
      <x:c r="N933" s="37"/>
      <x:c r="O933" s="32"/>
      <x:c r="P933" s="40"/>
      <x:c r="Q933" s="40"/>
      <x:c r="R933" s="41" t="str">
        <x:f>IF(OR(P933="",Q933=""),"",P933-Q933)</x:f>
      </x:c>
      <x:c r="S933" s="32"/>
      <x:c r="T933" s="32"/>
      <x:c r="U933" s="32"/>
      <x:c r="V933" s="32"/>
      <x:c r="W933" s="32"/>
      <x:c r="X933" s="32"/>
      <x:c r="Y933" s="43" t="str">
        <x:f>IF(OR(X933="",X933="Pending"),"",IF(X933="Rejected",0,IF(AND(U933="Ya",V933="Ya",W933="Ya"),1,"")))</x:f>
      </x:c>
      <x:c r="AA933" s="32"/>
      <x:c r="AB933" s="32"/>
      <x:c r="AC933" s="32"/>
      <x:c r="AD933" s="32"/>
      <x:c r="AE933" s="32"/>
      <x:c r="AF933" s="32"/>
      <x:c r="AG933" s="33" t="str">
        <x:f>IF(OR(AE933="",AF933=""),"",IF(AE933="Positif",IF(AF933="Positif","TP","FN"),IF(AF933="Positif","FP","TN")))</x:f>
      </x:c>
    </x:row>
    <x:row r="934">
      <x:c r="A934" s="32"/>
      <x:c r="B934" s="32"/>
      <x:c r="C934" s="32"/>
      <x:c r="D934" s="35"/>
      <x:c r="E934" s="32"/>
      <x:c r="F934" s="32"/>
      <x:c r="G934" s="32"/>
      <x:c r="H934" s="32"/>
      <x:c r="I934" s="32"/>
      <x:c r="J934" s="32"/>
      <x:c r="K934" s="32"/>
      <x:c r="L934" s="32"/>
      <x:c r="M934" s="32"/>
      <x:c r="N934" s="37"/>
      <x:c r="O934" s="32"/>
      <x:c r="P934" s="40"/>
      <x:c r="Q934" s="40"/>
      <x:c r="R934" s="41" t="str">
        <x:f>IF(OR(P934="",Q934=""),"",P934-Q934)</x:f>
      </x:c>
      <x:c r="S934" s="32"/>
      <x:c r="T934" s="32"/>
      <x:c r="U934" s="32"/>
      <x:c r="V934" s="32"/>
      <x:c r="W934" s="32"/>
      <x:c r="X934" s="32"/>
      <x:c r="Y934" s="43" t="str">
        <x:f>IF(OR(X934="",X934="Pending"),"",IF(X934="Rejected",0,IF(AND(U934="Ya",V934="Ya",W934="Ya"),1,"")))</x:f>
      </x:c>
      <x:c r="AA934" s="32"/>
      <x:c r="AB934" s="32"/>
      <x:c r="AC934" s="32"/>
      <x:c r="AD934" s="32"/>
      <x:c r="AE934" s="32"/>
      <x:c r="AF934" s="32"/>
      <x:c r="AG934" s="33" t="str">
        <x:f>IF(OR(AE934="",AF934=""),"",IF(AE934="Positif",IF(AF934="Positif","TP","FN"),IF(AF934="Positif","FP","TN")))</x:f>
      </x:c>
    </x:row>
    <x:row r="935">
      <x:c r="A935" s="32"/>
      <x:c r="B935" s="32"/>
      <x:c r="C935" s="32"/>
      <x:c r="D935" s="35"/>
      <x:c r="E935" s="32"/>
      <x:c r="F935" s="32"/>
      <x:c r="G935" s="32"/>
      <x:c r="H935" s="32"/>
      <x:c r="I935" s="32"/>
      <x:c r="J935" s="32"/>
      <x:c r="K935" s="32"/>
      <x:c r="L935" s="32"/>
      <x:c r="M935" s="32"/>
      <x:c r="N935" s="37"/>
      <x:c r="O935" s="32"/>
      <x:c r="P935" s="40"/>
      <x:c r="Q935" s="40"/>
      <x:c r="R935" s="41" t="str">
        <x:f>IF(OR(P935="",Q935=""),"",P935-Q935)</x:f>
      </x:c>
      <x:c r="S935" s="32"/>
      <x:c r="T935" s="32"/>
      <x:c r="U935" s="32"/>
      <x:c r="V935" s="32"/>
      <x:c r="W935" s="32"/>
      <x:c r="X935" s="32"/>
      <x:c r="Y935" s="43" t="str">
        <x:f>IF(OR(X935="",X935="Pending"),"",IF(X935="Rejected",0,IF(AND(U935="Ya",V935="Ya",W935="Ya"),1,"")))</x:f>
      </x:c>
      <x:c r="AA935" s="32"/>
      <x:c r="AB935" s="32"/>
      <x:c r="AC935" s="32"/>
      <x:c r="AD935" s="32"/>
      <x:c r="AE935" s="32"/>
      <x:c r="AF935" s="32"/>
      <x:c r="AG935" s="33" t="str">
        <x:f>IF(OR(AE935="",AF935=""),"",IF(AE935="Positif",IF(AF935="Positif","TP","FN"),IF(AF935="Positif","FP","TN")))</x:f>
      </x:c>
    </x:row>
    <x:row r="936">
      <x:c r="A936" s="32"/>
      <x:c r="B936" s="32"/>
      <x:c r="C936" s="32"/>
      <x:c r="D936" s="35"/>
      <x:c r="E936" s="32"/>
      <x:c r="F936" s="32"/>
      <x:c r="G936" s="32"/>
      <x:c r="H936" s="32"/>
      <x:c r="I936" s="32"/>
      <x:c r="J936" s="32"/>
      <x:c r="K936" s="32"/>
      <x:c r="L936" s="32"/>
      <x:c r="M936" s="32"/>
      <x:c r="N936" s="37"/>
      <x:c r="O936" s="32"/>
      <x:c r="P936" s="40"/>
      <x:c r="Q936" s="40"/>
      <x:c r="R936" s="41" t="str">
        <x:f>IF(OR(P936="",Q936=""),"",P936-Q936)</x:f>
      </x:c>
      <x:c r="S936" s="32"/>
      <x:c r="T936" s="32"/>
      <x:c r="U936" s="32"/>
      <x:c r="V936" s="32"/>
      <x:c r="W936" s="32"/>
      <x:c r="X936" s="32"/>
      <x:c r="Y936" s="43" t="str">
        <x:f>IF(OR(X936="",X936="Pending"),"",IF(X936="Rejected",0,IF(AND(U936="Ya",V936="Ya",W936="Ya"),1,"")))</x:f>
      </x:c>
      <x:c r="AA936" s="32"/>
      <x:c r="AB936" s="32"/>
      <x:c r="AC936" s="32"/>
      <x:c r="AD936" s="32"/>
      <x:c r="AE936" s="32"/>
      <x:c r="AF936" s="32"/>
      <x:c r="AG936" s="33" t="str">
        <x:f>IF(OR(AE936="",AF936=""),"",IF(AE936="Positif",IF(AF936="Positif","TP","FN"),IF(AF936="Positif","FP","TN")))</x:f>
      </x:c>
    </x:row>
    <x:row r="937">
      <x:c r="A937" s="32"/>
      <x:c r="B937" s="32"/>
      <x:c r="C937" s="32"/>
      <x:c r="D937" s="35"/>
      <x:c r="E937" s="32"/>
      <x:c r="F937" s="32"/>
      <x:c r="G937" s="32"/>
      <x:c r="H937" s="32"/>
      <x:c r="I937" s="32"/>
      <x:c r="J937" s="32"/>
      <x:c r="K937" s="32"/>
      <x:c r="L937" s="32"/>
      <x:c r="M937" s="32"/>
      <x:c r="N937" s="37"/>
      <x:c r="O937" s="32"/>
      <x:c r="P937" s="40"/>
      <x:c r="Q937" s="40"/>
      <x:c r="R937" s="41" t="str">
        <x:f>IF(OR(P937="",Q937=""),"",P937-Q937)</x:f>
      </x:c>
      <x:c r="S937" s="32"/>
      <x:c r="T937" s="32"/>
      <x:c r="U937" s="32"/>
      <x:c r="V937" s="32"/>
      <x:c r="W937" s="32"/>
      <x:c r="X937" s="32"/>
      <x:c r="Y937" s="43" t="str">
        <x:f>IF(OR(X937="",X937="Pending"),"",IF(X937="Rejected",0,IF(AND(U937="Ya",V937="Ya",W937="Ya"),1,"")))</x:f>
      </x:c>
      <x:c r="AA937" s="32"/>
      <x:c r="AB937" s="32"/>
      <x:c r="AC937" s="32"/>
      <x:c r="AD937" s="32"/>
      <x:c r="AE937" s="32"/>
      <x:c r="AF937" s="32"/>
      <x:c r="AG937" s="33" t="str">
        <x:f>IF(OR(AE937="",AF937=""),"",IF(AE937="Positif",IF(AF937="Positif","TP","FN"),IF(AF937="Positif","FP","TN")))</x:f>
      </x:c>
    </x:row>
    <x:row r="938">
      <x:c r="A938" s="32"/>
      <x:c r="B938" s="32"/>
      <x:c r="C938" s="32"/>
      <x:c r="D938" s="35"/>
      <x:c r="E938" s="32"/>
      <x:c r="F938" s="32"/>
      <x:c r="G938" s="32"/>
      <x:c r="H938" s="32"/>
      <x:c r="I938" s="32"/>
      <x:c r="J938" s="32"/>
      <x:c r="K938" s="32"/>
      <x:c r="L938" s="32"/>
      <x:c r="M938" s="32"/>
      <x:c r="N938" s="37"/>
      <x:c r="O938" s="32"/>
      <x:c r="P938" s="40"/>
      <x:c r="Q938" s="40"/>
      <x:c r="R938" s="41" t="str">
        <x:f>IF(OR(P938="",Q938=""),"",P938-Q938)</x:f>
      </x:c>
      <x:c r="S938" s="32"/>
      <x:c r="T938" s="32"/>
      <x:c r="U938" s="32"/>
      <x:c r="V938" s="32"/>
      <x:c r="W938" s="32"/>
      <x:c r="X938" s="32"/>
      <x:c r="Y938" s="43" t="str">
        <x:f>IF(OR(X938="",X938="Pending"),"",IF(X938="Rejected",0,IF(AND(U938="Ya",V938="Ya",W938="Ya"),1,"")))</x:f>
      </x:c>
      <x:c r="AA938" s="32"/>
      <x:c r="AB938" s="32"/>
      <x:c r="AC938" s="32"/>
      <x:c r="AD938" s="32"/>
      <x:c r="AE938" s="32"/>
      <x:c r="AF938" s="32"/>
      <x:c r="AG938" s="33" t="str">
        <x:f>IF(OR(AE938="",AF938=""),"",IF(AE938="Positif",IF(AF938="Positif","TP","FN"),IF(AF938="Positif","FP","TN")))</x:f>
      </x:c>
    </x:row>
    <x:row r="939">
      <x:c r="A939" s="32"/>
      <x:c r="B939" s="32"/>
      <x:c r="C939" s="32"/>
      <x:c r="D939" s="35"/>
      <x:c r="E939" s="32"/>
      <x:c r="F939" s="32"/>
      <x:c r="G939" s="32"/>
      <x:c r="H939" s="32"/>
      <x:c r="I939" s="32"/>
      <x:c r="J939" s="32"/>
      <x:c r="K939" s="32"/>
      <x:c r="L939" s="32"/>
      <x:c r="M939" s="32"/>
      <x:c r="N939" s="37"/>
      <x:c r="O939" s="32"/>
      <x:c r="P939" s="40"/>
      <x:c r="Q939" s="40"/>
      <x:c r="R939" s="41" t="str">
        <x:f>IF(OR(P939="",Q939=""),"",P939-Q939)</x:f>
      </x:c>
      <x:c r="S939" s="32"/>
      <x:c r="T939" s="32"/>
      <x:c r="U939" s="32"/>
      <x:c r="V939" s="32"/>
      <x:c r="W939" s="32"/>
      <x:c r="X939" s="32"/>
      <x:c r="Y939" s="43" t="str">
        <x:f>IF(OR(X939="",X939="Pending"),"",IF(X939="Rejected",0,IF(AND(U939="Ya",V939="Ya",W939="Ya"),1,"")))</x:f>
      </x:c>
      <x:c r="AA939" s="32"/>
      <x:c r="AB939" s="32"/>
      <x:c r="AC939" s="32"/>
      <x:c r="AD939" s="32"/>
      <x:c r="AE939" s="32"/>
      <x:c r="AF939" s="32"/>
      <x:c r="AG939" s="33" t="str">
        <x:f>IF(OR(AE939="",AF939=""),"",IF(AE939="Positif",IF(AF939="Positif","TP","FN"),IF(AF939="Positif","FP","TN")))</x:f>
      </x:c>
    </x:row>
    <x:row r="940">
      <x:c r="A940" s="32"/>
      <x:c r="B940" s="32"/>
      <x:c r="C940" s="32"/>
      <x:c r="D940" s="35"/>
      <x:c r="E940" s="32"/>
      <x:c r="F940" s="32"/>
      <x:c r="G940" s="32"/>
      <x:c r="H940" s="32"/>
      <x:c r="I940" s="32"/>
      <x:c r="J940" s="32"/>
      <x:c r="K940" s="32"/>
      <x:c r="L940" s="32"/>
      <x:c r="M940" s="32"/>
      <x:c r="N940" s="37"/>
      <x:c r="O940" s="32"/>
      <x:c r="P940" s="40"/>
      <x:c r="Q940" s="40"/>
      <x:c r="R940" s="41" t="str">
        <x:f>IF(OR(P940="",Q940=""),"",P940-Q940)</x:f>
      </x:c>
      <x:c r="S940" s="32"/>
      <x:c r="T940" s="32"/>
      <x:c r="U940" s="32"/>
      <x:c r="V940" s="32"/>
      <x:c r="W940" s="32"/>
      <x:c r="X940" s="32"/>
      <x:c r="Y940" s="43" t="str">
        <x:f>IF(OR(X940="",X940="Pending"),"",IF(X940="Rejected",0,IF(AND(U940="Ya",V940="Ya",W940="Ya"),1,"")))</x:f>
      </x:c>
      <x:c r="AA940" s="32"/>
      <x:c r="AB940" s="32"/>
      <x:c r="AC940" s="32"/>
      <x:c r="AD940" s="32"/>
      <x:c r="AE940" s="32"/>
      <x:c r="AF940" s="32"/>
      <x:c r="AG940" s="33" t="str">
        <x:f>IF(OR(AE940="",AF940=""),"",IF(AE940="Positif",IF(AF940="Positif","TP","FN"),IF(AF940="Positif","FP","TN")))</x:f>
      </x:c>
    </x:row>
    <x:row r="941">
      <x:c r="A941" s="32"/>
      <x:c r="B941" s="32"/>
      <x:c r="C941" s="32"/>
      <x:c r="D941" s="35"/>
      <x:c r="E941" s="32"/>
      <x:c r="F941" s="32"/>
      <x:c r="G941" s="32"/>
      <x:c r="H941" s="32"/>
      <x:c r="I941" s="32"/>
      <x:c r="J941" s="32"/>
      <x:c r="K941" s="32"/>
      <x:c r="L941" s="32"/>
      <x:c r="M941" s="32"/>
      <x:c r="N941" s="37"/>
      <x:c r="O941" s="32"/>
      <x:c r="P941" s="40"/>
      <x:c r="Q941" s="40"/>
      <x:c r="R941" s="41" t="str">
        <x:f>IF(OR(P941="",Q941=""),"",P941-Q941)</x:f>
      </x:c>
      <x:c r="S941" s="32"/>
      <x:c r="T941" s="32"/>
      <x:c r="U941" s="32"/>
      <x:c r="V941" s="32"/>
      <x:c r="W941" s="32"/>
      <x:c r="X941" s="32"/>
      <x:c r="Y941" s="43" t="str">
        <x:f>IF(OR(X941="",X941="Pending"),"",IF(X941="Rejected",0,IF(AND(U941="Ya",V941="Ya",W941="Ya"),1,"")))</x:f>
      </x:c>
      <x:c r="AA941" s="32"/>
      <x:c r="AB941" s="32"/>
      <x:c r="AC941" s="32"/>
      <x:c r="AD941" s="32"/>
      <x:c r="AE941" s="32"/>
      <x:c r="AF941" s="32"/>
      <x:c r="AG941" s="33" t="str">
        <x:f>IF(OR(AE941="",AF941=""),"",IF(AE941="Positif",IF(AF941="Positif","TP","FN"),IF(AF941="Positif","FP","TN")))</x:f>
      </x:c>
    </x:row>
    <x:row r="942">
      <x:c r="A942" s="32"/>
      <x:c r="B942" s="32"/>
      <x:c r="C942" s="32"/>
      <x:c r="D942" s="35"/>
      <x:c r="E942" s="32"/>
      <x:c r="F942" s="32"/>
      <x:c r="G942" s="32"/>
      <x:c r="H942" s="32"/>
      <x:c r="I942" s="32"/>
      <x:c r="J942" s="32"/>
      <x:c r="K942" s="32"/>
      <x:c r="L942" s="32"/>
      <x:c r="M942" s="32"/>
      <x:c r="N942" s="37"/>
      <x:c r="O942" s="32"/>
      <x:c r="P942" s="40"/>
      <x:c r="Q942" s="40"/>
      <x:c r="R942" s="41" t="str">
        <x:f>IF(OR(P942="",Q942=""),"",P942-Q942)</x:f>
      </x:c>
      <x:c r="S942" s="32"/>
      <x:c r="T942" s="32"/>
      <x:c r="U942" s="32"/>
      <x:c r="V942" s="32"/>
      <x:c r="W942" s="32"/>
      <x:c r="X942" s="32"/>
      <x:c r="Y942" s="43" t="str">
        <x:f>IF(OR(X942="",X942="Pending"),"",IF(X942="Rejected",0,IF(AND(U942="Ya",V942="Ya",W942="Ya"),1,"")))</x:f>
      </x:c>
      <x:c r="AA942" s="32"/>
      <x:c r="AB942" s="32"/>
      <x:c r="AC942" s="32"/>
      <x:c r="AD942" s="32"/>
      <x:c r="AE942" s="32"/>
      <x:c r="AF942" s="32"/>
      <x:c r="AG942" s="33" t="str">
        <x:f>IF(OR(AE942="",AF942=""),"",IF(AE942="Positif",IF(AF942="Positif","TP","FN"),IF(AF942="Positif","FP","TN")))</x:f>
      </x:c>
    </x:row>
    <x:row r="943">
      <x:c r="A943" s="32"/>
      <x:c r="B943" s="32"/>
      <x:c r="C943" s="32"/>
      <x:c r="D943" s="35"/>
      <x:c r="E943" s="32"/>
      <x:c r="F943" s="32"/>
      <x:c r="G943" s="32"/>
      <x:c r="H943" s="32"/>
      <x:c r="I943" s="32"/>
      <x:c r="J943" s="32"/>
      <x:c r="K943" s="32"/>
      <x:c r="L943" s="32"/>
      <x:c r="M943" s="32"/>
      <x:c r="N943" s="37"/>
      <x:c r="O943" s="32"/>
      <x:c r="P943" s="40"/>
      <x:c r="Q943" s="40"/>
      <x:c r="R943" s="41" t="str">
        <x:f>IF(OR(P943="",Q943=""),"",P943-Q943)</x:f>
      </x:c>
      <x:c r="S943" s="32"/>
      <x:c r="T943" s="32"/>
      <x:c r="U943" s="32"/>
      <x:c r="V943" s="32"/>
      <x:c r="W943" s="32"/>
      <x:c r="X943" s="32"/>
      <x:c r="Y943" s="43" t="str">
        <x:f>IF(OR(X943="",X943="Pending"),"",IF(X943="Rejected",0,IF(AND(U943="Ya",V943="Ya",W943="Ya"),1,"")))</x:f>
      </x:c>
      <x:c r="AA943" s="32"/>
      <x:c r="AB943" s="32"/>
      <x:c r="AC943" s="32"/>
      <x:c r="AD943" s="32"/>
      <x:c r="AE943" s="32"/>
      <x:c r="AF943" s="32"/>
      <x:c r="AG943" s="33" t="str">
        <x:f>IF(OR(AE943="",AF943=""),"",IF(AE943="Positif",IF(AF943="Positif","TP","FN"),IF(AF943="Positif","FP","TN")))</x:f>
      </x:c>
    </x:row>
    <x:row r="944">
      <x:c r="A944" s="32"/>
      <x:c r="B944" s="32"/>
      <x:c r="C944" s="32"/>
      <x:c r="D944" s="35"/>
      <x:c r="E944" s="32"/>
      <x:c r="F944" s="32"/>
      <x:c r="G944" s="32"/>
      <x:c r="H944" s="32"/>
      <x:c r="I944" s="32"/>
      <x:c r="J944" s="32"/>
      <x:c r="K944" s="32"/>
      <x:c r="L944" s="32"/>
      <x:c r="M944" s="32"/>
      <x:c r="N944" s="37"/>
      <x:c r="O944" s="32"/>
      <x:c r="P944" s="40"/>
      <x:c r="Q944" s="40"/>
      <x:c r="R944" s="41" t="str">
        <x:f>IF(OR(P944="",Q944=""),"",P944-Q944)</x:f>
      </x:c>
      <x:c r="S944" s="32"/>
      <x:c r="T944" s="32"/>
      <x:c r="U944" s="32"/>
      <x:c r="V944" s="32"/>
      <x:c r="W944" s="32"/>
      <x:c r="X944" s="32"/>
      <x:c r="Y944" s="43" t="str">
        <x:f>IF(OR(X944="",X944="Pending"),"",IF(X944="Rejected",0,IF(AND(U944="Ya",V944="Ya",W944="Ya"),1,"")))</x:f>
      </x:c>
      <x:c r="AA944" s="32"/>
      <x:c r="AB944" s="32"/>
      <x:c r="AC944" s="32"/>
      <x:c r="AD944" s="32"/>
      <x:c r="AE944" s="32"/>
      <x:c r="AF944" s="32"/>
      <x:c r="AG944" s="33" t="str">
        <x:f>IF(OR(AE944="",AF944=""),"",IF(AE944="Positif",IF(AF944="Positif","TP","FN"),IF(AF944="Positif","FP","TN")))</x:f>
      </x:c>
    </x:row>
    <x:row r="945">
      <x:c r="A945" s="32"/>
      <x:c r="B945" s="32"/>
      <x:c r="C945" s="32"/>
      <x:c r="D945" s="35"/>
      <x:c r="E945" s="32"/>
      <x:c r="F945" s="32"/>
      <x:c r="G945" s="32"/>
      <x:c r="H945" s="32"/>
      <x:c r="I945" s="32"/>
      <x:c r="J945" s="32"/>
      <x:c r="K945" s="32"/>
      <x:c r="L945" s="32"/>
      <x:c r="M945" s="32"/>
      <x:c r="N945" s="37"/>
      <x:c r="O945" s="32"/>
      <x:c r="P945" s="40"/>
      <x:c r="Q945" s="40"/>
      <x:c r="R945" s="41" t="str">
        <x:f>IF(OR(P945="",Q945=""),"",P945-Q945)</x:f>
      </x:c>
      <x:c r="S945" s="32"/>
      <x:c r="T945" s="32"/>
      <x:c r="U945" s="32"/>
      <x:c r="V945" s="32"/>
      <x:c r="W945" s="32"/>
      <x:c r="X945" s="32"/>
      <x:c r="Y945" s="43" t="str">
        <x:f>IF(OR(X945="",X945="Pending"),"",IF(X945="Rejected",0,IF(AND(U945="Ya",V945="Ya",W945="Ya"),1,"")))</x:f>
      </x:c>
      <x:c r="AA945" s="32"/>
      <x:c r="AB945" s="32"/>
      <x:c r="AC945" s="32"/>
      <x:c r="AD945" s="32"/>
      <x:c r="AE945" s="32"/>
      <x:c r="AF945" s="32"/>
      <x:c r="AG945" s="33" t="str">
        <x:f>IF(OR(AE945="",AF945=""),"",IF(AE945="Positif",IF(AF945="Positif","TP","FN"),IF(AF945="Positif","FP","TN")))</x:f>
      </x:c>
    </x:row>
    <x:row r="946">
      <x:c r="A946" s="32"/>
      <x:c r="B946" s="32"/>
      <x:c r="C946" s="32"/>
      <x:c r="D946" s="35"/>
      <x:c r="E946" s="32"/>
      <x:c r="F946" s="32"/>
      <x:c r="G946" s="32"/>
      <x:c r="H946" s="32"/>
      <x:c r="I946" s="32"/>
      <x:c r="J946" s="32"/>
      <x:c r="K946" s="32"/>
      <x:c r="L946" s="32"/>
      <x:c r="M946" s="32"/>
      <x:c r="N946" s="37"/>
      <x:c r="O946" s="32"/>
      <x:c r="P946" s="40"/>
      <x:c r="Q946" s="40"/>
      <x:c r="R946" s="41" t="str">
        <x:f>IF(OR(P946="",Q946=""),"",P946-Q946)</x:f>
      </x:c>
      <x:c r="S946" s="32"/>
      <x:c r="T946" s="32"/>
      <x:c r="U946" s="32"/>
      <x:c r="V946" s="32"/>
      <x:c r="W946" s="32"/>
      <x:c r="X946" s="32"/>
      <x:c r="Y946" s="43" t="str">
        <x:f>IF(OR(X946="",X946="Pending"),"",IF(X946="Rejected",0,IF(AND(U946="Ya",V946="Ya",W946="Ya"),1,"")))</x:f>
      </x:c>
      <x:c r="AA946" s="32"/>
      <x:c r="AB946" s="32"/>
      <x:c r="AC946" s="32"/>
      <x:c r="AD946" s="32"/>
      <x:c r="AE946" s="32"/>
      <x:c r="AF946" s="32"/>
      <x:c r="AG946" s="33" t="str">
        <x:f>IF(OR(AE946="",AF946=""),"",IF(AE946="Positif",IF(AF946="Positif","TP","FN"),IF(AF946="Positif","FP","TN")))</x:f>
      </x:c>
    </x:row>
    <x:row r="947">
      <x:c r="A947" s="32"/>
      <x:c r="B947" s="32"/>
      <x:c r="C947" s="32"/>
      <x:c r="D947" s="35"/>
      <x:c r="E947" s="32"/>
      <x:c r="F947" s="32"/>
      <x:c r="G947" s="32"/>
      <x:c r="H947" s="32"/>
      <x:c r="I947" s="32"/>
      <x:c r="J947" s="32"/>
      <x:c r="K947" s="32"/>
      <x:c r="L947" s="32"/>
      <x:c r="M947" s="32"/>
      <x:c r="N947" s="37"/>
      <x:c r="O947" s="32"/>
      <x:c r="P947" s="40"/>
      <x:c r="Q947" s="40"/>
      <x:c r="R947" s="41" t="str">
        <x:f>IF(OR(P947="",Q947=""),"",P947-Q947)</x:f>
      </x:c>
      <x:c r="S947" s="32"/>
      <x:c r="T947" s="32"/>
      <x:c r="U947" s="32"/>
      <x:c r="V947" s="32"/>
      <x:c r="W947" s="32"/>
      <x:c r="X947" s="32"/>
      <x:c r="Y947" s="43" t="str">
        <x:f>IF(OR(X947="",X947="Pending"),"",IF(X947="Rejected",0,IF(AND(U947="Ya",V947="Ya",W947="Ya"),1,"")))</x:f>
      </x:c>
      <x:c r="AA947" s="32"/>
      <x:c r="AB947" s="32"/>
      <x:c r="AC947" s="32"/>
      <x:c r="AD947" s="32"/>
      <x:c r="AE947" s="32"/>
      <x:c r="AF947" s="32"/>
      <x:c r="AG947" s="33" t="str">
        <x:f>IF(OR(AE947="",AF947=""),"",IF(AE947="Positif",IF(AF947="Positif","TP","FN"),IF(AF947="Positif","FP","TN")))</x:f>
      </x:c>
    </x:row>
    <x:row r="948">
      <x:c r="A948" s="32"/>
      <x:c r="B948" s="32"/>
      <x:c r="C948" s="32"/>
      <x:c r="D948" s="35"/>
      <x:c r="E948" s="32"/>
      <x:c r="F948" s="32"/>
      <x:c r="G948" s="32"/>
      <x:c r="H948" s="32"/>
      <x:c r="I948" s="32"/>
      <x:c r="J948" s="32"/>
      <x:c r="K948" s="32"/>
      <x:c r="L948" s="32"/>
      <x:c r="M948" s="32"/>
      <x:c r="N948" s="37"/>
      <x:c r="O948" s="32"/>
      <x:c r="P948" s="40"/>
      <x:c r="Q948" s="40"/>
      <x:c r="R948" s="41" t="str">
        <x:f>IF(OR(P948="",Q948=""),"",P948-Q948)</x:f>
      </x:c>
      <x:c r="S948" s="32"/>
      <x:c r="T948" s="32"/>
      <x:c r="U948" s="32"/>
      <x:c r="V948" s="32"/>
      <x:c r="W948" s="32"/>
      <x:c r="X948" s="32"/>
      <x:c r="Y948" s="43" t="str">
        <x:f>IF(OR(X948="",X948="Pending"),"",IF(X948="Rejected",0,IF(AND(U948="Ya",V948="Ya",W948="Ya"),1,"")))</x:f>
      </x:c>
      <x:c r="AA948" s="32"/>
      <x:c r="AB948" s="32"/>
      <x:c r="AC948" s="32"/>
      <x:c r="AD948" s="32"/>
      <x:c r="AE948" s="32"/>
      <x:c r="AF948" s="32"/>
      <x:c r="AG948" s="33" t="str">
        <x:f>IF(OR(AE948="",AF948=""),"",IF(AE948="Positif",IF(AF948="Positif","TP","FN"),IF(AF948="Positif","FP","TN")))</x:f>
      </x:c>
    </x:row>
    <x:row r="949">
      <x:c r="A949" s="32"/>
      <x:c r="B949" s="32"/>
      <x:c r="C949" s="32"/>
      <x:c r="D949" s="35"/>
      <x:c r="E949" s="32"/>
      <x:c r="F949" s="32"/>
      <x:c r="G949" s="32"/>
      <x:c r="H949" s="32"/>
      <x:c r="I949" s="32"/>
      <x:c r="J949" s="32"/>
      <x:c r="K949" s="32"/>
      <x:c r="L949" s="32"/>
      <x:c r="M949" s="32"/>
      <x:c r="N949" s="37"/>
      <x:c r="O949" s="32"/>
      <x:c r="P949" s="40"/>
      <x:c r="Q949" s="40"/>
      <x:c r="R949" s="41" t="str">
        <x:f>IF(OR(P949="",Q949=""),"",P949-Q949)</x:f>
      </x:c>
      <x:c r="S949" s="32"/>
      <x:c r="T949" s="32"/>
      <x:c r="U949" s="32"/>
      <x:c r="V949" s="32"/>
      <x:c r="W949" s="32"/>
      <x:c r="X949" s="32"/>
      <x:c r="Y949" s="43" t="str">
        <x:f>IF(OR(X949="",X949="Pending"),"",IF(X949="Rejected",0,IF(AND(U949="Ya",V949="Ya",W949="Ya"),1,"")))</x:f>
      </x:c>
      <x:c r="AA949" s="32"/>
      <x:c r="AB949" s="32"/>
      <x:c r="AC949" s="32"/>
      <x:c r="AD949" s="32"/>
      <x:c r="AE949" s="32"/>
      <x:c r="AF949" s="32"/>
      <x:c r="AG949" s="33" t="str">
        <x:f>IF(OR(AE949="",AF949=""),"",IF(AE949="Positif",IF(AF949="Positif","TP","FN"),IF(AF949="Positif","FP","TN")))</x:f>
      </x:c>
    </x:row>
    <x:row r="950">
      <x:c r="A950" s="32"/>
      <x:c r="B950" s="32"/>
      <x:c r="C950" s="32"/>
      <x:c r="D950" s="35"/>
      <x:c r="E950" s="32"/>
      <x:c r="F950" s="32"/>
      <x:c r="G950" s="32"/>
      <x:c r="H950" s="32"/>
      <x:c r="I950" s="32"/>
      <x:c r="J950" s="32"/>
      <x:c r="K950" s="32"/>
      <x:c r="L950" s="32"/>
      <x:c r="M950" s="32"/>
      <x:c r="N950" s="37"/>
      <x:c r="O950" s="32"/>
      <x:c r="P950" s="40"/>
      <x:c r="Q950" s="40"/>
      <x:c r="R950" s="41" t="str">
        <x:f>IF(OR(P950="",Q950=""),"",P950-Q950)</x:f>
      </x:c>
      <x:c r="S950" s="32"/>
      <x:c r="T950" s="32"/>
      <x:c r="U950" s="32"/>
      <x:c r="V950" s="32"/>
      <x:c r="W950" s="32"/>
      <x:c r="X950" s="32"/>
      <x:c r="Y950" s="43" t="str">
        <x:f>IF(OR(X950="",X950="Pending"),"",IF(X950="Rejected",0,IF(AND(U950="Ya",V950="Ya",W950="Ya"),1,"")))</x:f>
      </x:c>
      <x:c r="AA950" s="32"/>
      <x:c r="AB950" s="32"/>
      <x:c r="AC950" s="32"/>
      <x:c r="AD950" s="32"/>
      <x:c r="AE950" s="32"/>
      <x:c r="AF950" s="32"/>
      <x:c r="AG950" s="33" t="str">
        <x:f>IF(OR(AE950="",AF950=""),"",IF(AE950="Positif",IF(AF950="Positif","TP","FN"),IF(AF950="Positif","FP","TN")))</x:f>
      </x:c>
    </x:row>
    <x:row r="951">
      <x:c r="A951" s="32"/>
      <x:c r="B951" s="32"/>
      <x:c r="C951" s="32"/>
      <x:c r="D951" s="35"/>
      <x:c r="E951" s="32"/>
      <x:c r="F951" s="32"/>
      <x:c r="G951" s="32"/>
      <x:c r="H951" s="32"/>
      <x:c r="I951" s="32"/>
      <x:c r="J951" s="32"/>
      <x:c r="K951" s="32"/>
      <x:c r="L951" s="32"/>
      <x:c r="M951" s="32"/>
      <x:c r="N951" s="37"/>
      <x:c r="O951" s="32"/>
      <x:c r="P951" s="40"/>
      <x:c r="Q951" s="40"/>
      <x:c r="R951" s="41" t="str">
        <x:f>IF(OR(P951="",Q951=""),"",P951-Q951)</x:f>
      </x:c>
      <x:c r="S951" s="32"/>
      <x:c r="T951" s="32"/>
      <x:c r="U951" s="32"/>
      <x:c r="V951" s="32"/>
      <x:c r="W951" s="32"/>
      <x:c r="X951" s="32"/>
      <x:c r="Y951" s="43" t="str">
        <x:f>IF(OR(X951="",X951="Pending"),"",IF(X951="Rejected",0,IF(AND(U951="Ya",V951="Ya",W951="Ya"),1,"")))</x:f>
      </x:c>
      <x:c r="AA951" s="32"/>
      <x:c r="AB951" s="32"/>
      <x:c r="AC951" s="32"/>
      <x:c r="AD951" s="32"/>
      <x:c r="AE951" s="32"/>
      <x:c r="AF951" s="32"/>
      <x:c r="AG951" s="33" t="str">
        <x:f>IF(OR(AE951="",AF951=""),"",IF(AE951="Positif",IF(AF951="Positif","TP","FN"),IF(AF951="Positif","FP","TN")))</x:f>
      </x:c>
    </x:row>
    <x:row r="952">
      <x:c r="A952" s="32"/>
      <x:c r="B952" s="32"/>
      <x:c r="C952" s="32"/>
      <x:c r="D952" s="35"/>
      <x:c r="E952" s="32"/>
      <x:c r="F952" s="32"/>
      <x:c r="G952" s="32"/>
      <x:c r="H952" s="32"/>
      <x:c r="I952" s="32"/>
      <x:c r="J952" s="32"/>
      <x:c r="K952" s="32"/>
      <x:c r="L952" s="32"/>
      <x:c r="M952" s="32"/>
      <x:c r="N952" s="37"/>
      <x:c r="O952" s="32"/>
      <x:c r="P952" s="40"/>
      <x:c r="Q952" s="40"/>
      <x:c r="R952" s="41" t="str">
        <x:f>IF(OR(P952="",Q952=""),"",P952-Q952)</x:f>
      </x:c>
      <x:c r="S952" s="32"/>
      <x:c r="T952" s="32"/>
      <x:c r="U952" s="32"/>
      <x:c r="V952" s="32"/>
      <x:c r="W952" s="32"/>
      <x:c r="X952" s="32"/>
      <x:c r="Y952" s="43" t="str">
        <x:f>IF(OR(X952="",X952="Pending"),"",IF(X952="Rejected",0,IF(AND(U952="Ya",V952="Ya",W952="Ya"),1,"")))</x:f>
      </x:c>
      <x:c r="AA952" s="32"/>
      <x:c r="AB952" s="32"/>
      <x:c r="AC952" s="32"/>
      <x:c r="AD952" s="32"/>
      <x:c r="AE952" s="32"/>
      <x:c r="AF952" s="32"/>
      <x:c r="AG952" s="33" t="str">
        <x:f>IF(OR(AE952="",AF952=""),"",IF(AE952="Positif",IF(AF952="Positif","TP","FN"),IF(AF952="Positif","FP","TN")))</x:f>
      </x:c>
    </x:row>
    <x:row r="953">
      <x:c r="A953" s="32"/>
      <x:c r="B953" s="32"/>
      <x:c r="C953" s="32"/>
      <x:c r="D953" s="35"/>
      <x:c r="E953" s="32"/>
      <x:c r="F953" s="32"/>
      <x:c r="G953" s="32"/>
      <x:c r="H953" s="32"/>
      <x:c r="I953" s="32"/>
      <x:c r="J953" s="32"/>
      <x:c r="K953" s="32"/>
      <x:c r="L953" s="32"/>
      <x:c r="M953" s="32"/>
      <x:c r="N953" s="37"/>
      <x:c r="O953" s="32"/>
      <x:c r="P953" s="40"/>
      <x:c r="Q953" s="40"/>
      <x:c r="R953" s="41" t="str">
        <x:f>IF(OR(P953="",Q953=""),"",P953-Q953)</x:f>
      </x:c>
      <x:c r="S953" s="32"/>
      <x:c r="T953" s="32"/>
      <x:c r="U953" s="32"/>
      <x:c r="V953" s="32"/>
      <x:c r="W953" s="32"/>
      <x:c r="X953" s="32"/>
      <x:c r="Y953" s="43" t="str">
        <x:f>IF(OR(X953="",X953="Pending"),"",IF(X953="Rejected",0,IF(AND(U953="Ya",V953="Ya",W953="Ya"),1,"")))</x:f>
      </x:c>
      <x:c r="AA953" s="32"/>
      <x:c r="AB953" s="32"/>
      <x:c r="AC953" s="32"/>
      <x:c r="AD953" s="32"/>
      <x:c r="AE953" s="32"/>
      <x:c r="AF953" s="32"/>
      <x:c r="AG953" s="33" t="str">
        <x:f>IF(OR(AE953="",AF953=""),"",IF(AE953="Positif",IF(AF953="Positif","TP","FN"),IF(AF953="Positif","FP","TN")))</x:f>
      </x:c>
    </x:row>
    <x:row r="954">
      <x:c r="A954" s="32"/>
      <x:c r="B954" s="32"/>
      <x:c r="C954" s="32"/>
      <x:c r="D954" s="35"/>
      <x:c r="E954" s="32"/>
      <x:c r="F954" s="32"/>
      <x:c r="G954" s="32"/>
      <x:c r="H954" s="32"/>
      <x:c r="I954" s="32"/>
      <x:c r="J954" s="32"/>
      <x:c r="K954" s="32"/>
      <x:c r="L954" s="32"/>
      <x:c r="M954" s="32"/>
      <x:c r="N954" s="37"/>
      <x:c r="O954" s="32"/>
      <x:c r="P954" s="40"/>
      <x:c r="Q954" s="40"/>
      <x:c r="R954" s="41" t="str">
        <x:f>IF(OR(P954="",Q954=""),"",P954-Q954)</x:f>
      </x:c>
      <x:c r="S954" s="32"/>
      <x:c r="T954" s="32"/>
      <x:c r="U954" s="32"/>
      <x:c r="V954" s="32"/>
      <x:c r="W954" s="32"/>
      <x:c r="X954" s="32"/>
      <x:c r="Y954" s="43" t="str">
        <x:f>IF(OR(X954="",X954="Pending"),"",IF(X954="Rejected",0,IF(AND(U954="Ya",V954="Ya",W954="Ya"),1,"")))</x:f>
      </x:c>
      <x:c r="AA954" s="32"/>
      <x:c r="AB954" s="32"/>
      <x:c r="AC954" s="32"/>
      <x:c r="AD954" s="32"/>
      <x:c r="AE954" s="32"/>
      <x:c r="AF954" s="32"/>
      <x:c r="AG954" s="33" t="str">
        <x:f>IF(OR(AE954="",AF954=""),"",IF(AE954="Positif",IF(AF954="Positif","TP","FN"),IF(AF954="Positif","FP","TN")))</x:f>
      </x:c>
    </x:row>
    <x:row r="955">
      <x:c r="A955" s="32"/>
      <x:c r="B955" s="32"/>
      <x:c r="C955" s="32"/>
      <x:c r="D955" s="35"/>
      <x:c r="E955" s="32"/>
      <x:c r="F955" s="32"/>
      <x:c r="G955" s="32"/>
      <x:c r="H955" s="32"/>
      <x:c r="I955" s="32"/>
      <x:c r="J955" s="32"/>
      <x:c r="K955" s="32"/>
      <x:c r="L955" s="32"/>
      <x:c r="M955" s="32"/>
      <x:c r="N955" s="37"/>
      <x:c r="O955" s="32"/>
      <x:c r="P955" s="40"/>
      <x:c r="Q955" s="40"/>
      <x:c r="R955" s="41" t="str">
        <x:f>IF(OR(P955="",Q955=""),"",P955-Q955)</x:f>
      </x:c>
      <x:c r="S955" s="32"/>
      <x:c r="T955" s="32"/>
      <x:c r="U955" s="32"/>
      <x:c r="V955" s="32"/>
      <x:c r="W955" s="32"/>
      <x:c r="X955" s="32"/>
      <x:c r="Y955" s="43" t="str">
        <x:f>IF(OR(X955="",X955="Pending"),"",IF(X955="Rejected",0,IF(AND(U955="Ya",V955="Ya",W955="Ya"),1,"")))</x:f>
      </x:c>
      <x:c r="AA955" s="32"/>
      <x:c r="AB955" s="32"/>
      <x:c r="AC955" s="32"/>
      <x:c r="AD955" s="32"/>
      <x:c r="AE955" s="32"/>
      <x:c r="AF955" s="32"/>
      <x:c r="AG955" s="33" t="str">
        <x:f>IF(OR(AE955="",AF955=""),"",IF(AE955="Positif",IF(AF955="Positif","TP","FN"),IF(AF955="Positif","FP","TN")))</x:f>
      </x:c>
    </x:row>
    <x:row r="956">
      <x:c r="A956" s="32"/>
      <x:c r="B956" s="32"/>
      <x:c r="C956" s="32"/>
      <x:c r="D956" s="35"/>
      <x:c r="E956" s="32"/>
      <x:c r="F956" s="32"/>
      <x:c r="G956" s="32"/>
      <x:c r="H956" s="32"/>
      <x:c r="I956" s="32"/>
      <x:c r="J956" s="32"/>
      <x:c r="K956" s="32"/>
      <x:c r="L956" s="32"/>
      <x:c r="M956" s="32"/>
      <x:c r="N956" s="37"/>
      <x:c r="O956" s="32"/>
      <x:c r="P956" s="40"/>
      <x:c r="Q956" s="40"/>
      <x:c r="R956" s="41" t="str">
        <x:f>IF(OR(P956="",Q956=""),"",P956-Q956)</x:f>
      </x:c>
      <x:c r="S956" s="32"/>
      <x:c r="T956" s="32"/>
      <x:c r="U956" s="32"/>
      <x:c r="V956" s="32"/>
      <x:c r="W956" s="32"/>
      <x:c r="X956" s="32"/>
      <x:c r="Y956" s="43" t="str">
        <x:f>IF(OR(X956="",X956="Pending"),"",IF(X956="Rejected",0,IF(AND(U956="Ya",V956="Ya",W956="Ya"),1,"")))</x:f>
      </x:c>
      <x:c r="AA956" s="32"/>
      <x:c r="AB956" s="32"/>
      <x:c r="AC956" s="32"/>
      <x:c r="AD956" s="32"/>
      <x:c r="AE956" s="32"/>
      <x:c r="AF956" s="32"/>
      <x:c r="AG956" s="33" t="str">
        <x:f>IF(OR(AE956="",AF956=""),"",IF(AE956="Positif",IF(AF956="Positif","TP","FN"),IF(AF956="Positif","FP","TN")))</x:f>
      </x:c>
    </x:row>
    <x:row r="957">
      <x:c r="A957" s="32"/>
      <x:c r="B957" s="32"/>
      <x:c r="C957" s="32"/>
      <x:c r="D957" s="35"/>
      <x:c r="E957" s="32"/>
      <x:c r="F957" s="32"/>
      <x:c r="G957" s="32"/>
      <x:c r="H957" s="32"/>
      <x:c r="I957" s="32"/>
      <x:c r="J957" s="32"/>
      <x:c r="K957" s="32"/>
      <x:c r="L957" s="32"/>
      <x:c r="M957" s="32"/>
      <x:c r="N957" s="37"/>
      <x:c r="O957" s="32"/>
      <x:c r="P957" s="40"/>
      <x:c r="Q957" s="40"/>
      <x:c r="R957" s="41" t="str">
        <x:f>IF(OR(P957="",Q957=""),"",P957-Q957)</x:f>
      </x:c>
      <x:c r="S957" s="32"/>
      <x:c r="T957" s="32"/>
      <x:c r="U957" s="32"/>
      <x:c r="V957" s="32"/>
      <x:c r="W957" s="32"/>
      <x:c r="X957" s="32"/>
      <x:c r="Y957" s="43" t="str">
        <x:f>IF(OR(X957="",X957="Pending"),"",IF(X957="Rejected",0,IF(AND(U957="Ya",V957="Ya",W957="Ya"),1,"")))</x:f>
      </x:c>
      <x:c r="AA957" s="32"/>
      <x:c r="AB957" s="32"/>
      <x:c r="AC957" s="32"/>
      <x:c r="AD957" s="32"/>
      <x:c r="AE957" s="32"/>
      <x:c r="AF957" s="32"/>
      <x:c r="AG957" s="33" t="str">
        <x:f>IF(OR(AE957="",AF957=""),"",IF(AE957="Positif",IF(AF957="Positif","TP","FN"),IF(AF957="Positif","FP","TN")))</x:f>
      </x:c>
    </x:row>
    <x:row r="958">
      <x:c r="A958" s="32"/>
      <x:c r="B958" s="32"/>
      <x:c r="C958" s="32"/>
      <x:c r="D958" s="35"/>
      <x:c r="E958" s="32"/>
      <x:c r="F958" s="32"/>
      <x:c r="G958" s="32"/>
      <x:c r="H958" s="32"/>
      <x:c r="I958" s="32"/>
      <x:c r="J958" s="32"/>
      <x:c r="K958" s="32"/>
      <x:c r="L958" s="32"/>
      <x:c r="M958" s="32"/>
      <x:c r="N958" s="37"/>
      <x:c r="O958" s="32"/>
      <x:c r="P958" s="40"/>
      <x:c r="Q958" s="40"/>
      <x:c r="R958" s="41" t="str">
        <x:f>IF(OR(P958="",Q958=""),"",P958-Q958)</x:f>
      </x:c>
      <x:c r="S958" s="32"/>
      <x:c r="T958" s="32"/>
      <x:c r="U958" s="32"/>
      <x:c r="V958" s="32"/>
      <x:c r="W958" s="32"/>
      <x:c r="X958" s="32"/>
      <x:c r="Y958" s="43" t="str">
        <x:f>IF(OR(X958="",X958="Pending"),"",IF(X958="Rejected",0,IF(AND(U958="Ya",V958="Ya",W958="Ya"),1,"")))</x:f>
      </x:c>
      <x:c r="AA958" s="32"/>
      <x:c r="AB958" s="32"/>
      <x:c r="AC958" s="32"/>
      <x:c r="AD958" s="32"/>
      <x:c r="AE958" s="32"/>
      <x:c r="AF958" s="32"/>
      <x:c r="AG958" s="33" t="str">
        <x:f>IF(OR(AE958="",AF958=""),"",IF(AE958="Positif",IF(AF958="Positif","TP","FN"),IF(AF958="Positif","FP","TN")))</x:f>
      </x:c>
    </x:row>
    <x:row r="959">
      <x:c r="A959" s="32"/>
      <x:c r="B959" s="32"/>
      <x:c r="C959" s="32"/>
      <x:c r="D959" s="35"/>
      <x:c r="E959" s="32"/>
      <x:c r="F959" s="32"/>
      <x:c r="G959" s="32"/>
      <x:c r="H959" s="32"/>
      <x:c r="I959" s="32"/>
      <x:c r="J959" s="32"/>
      <x:c r="K959" s="32"/>
      <x:c r="L959" s="32"/>
      <x:c r="M959" s="32"/>
      <x:c r="N959" s="37"/>
      <x:c r="O959" s="32"/>
      <x:c r="P959" s="40"/>
      <x:c r="Q959" s="40"/>
      <x:c r="R959" s="41" t="str">
        <x:f>IF(OR(P959="",Q959=""),"",P959-Q959)</x:f>
      </x:c>
      <x:c r="S959" s="32"/>
      <x:c r="T959" s="32"/>
      <x:c r="U959" s="32"/>
      <x:c r="V959" s="32"/>
      <x:c r="W959" s="32"/>
      <x:c r="X959" s="32"/>
      <x:c r="Y959" s="43" t="str">
        <x:f>IF(OR(X959="",X959="Pending"),"",IF(X959="Rejected",0,IF(AND(U959="Ya",V959="Ya",W959="Ya"),1,"")))</x:f>
      </x:c>
      <x:c r="AA959" s="32"/>
      <x:c r="AB959" s="32"/>
      <x:c r="AC959" s="32"/>
      <x:c r="AD959" s="32"/>
      <x:c r="AE959" s="32"/>
      <x:c r="AF959" s="32"/>
      <x:c r="AG959" s="33" t="str">
        <x:f>IF(OR(AE959="",AF959=""),"",IF(AE959="Positif",IF(AF959="Positif","TP","FN"),IF(AF959="Positif","FP","TN")))</x:f>
      </x:c>
    </x:row>
    <x:row r="960">
      <x:c r="A960" s="32"/>
      <x:c r="B960" s="32"/>
      <x:c r="C960" s="32"/>
      <x:c r="D960" s="35"/>
      <x:c r="E960" s="32"/>
      <x:c r="F960" s="32"/>
      <x:c r="G960" s="32"/>
      <x:c r="H960" s="32"/>
      <x:c r="I960" s="32"/>
      <x:c r="J960" s="32"/>
      <x:c r="K960" s="32"/>
      <x:c r="L960" s="32"/>
      <x:c r="M960" s="32"/>
      <x:c r="N960" s="37"/>
      <x:c r="O960" s="32"/>
      <x:c r="P960" s="40"/>
      <x:c r="Q960" s="40"/>
      <x:c r="R960" s="41" t="str">
        <x:f>IF(OR(P960="",Q960=""),"",P960-Q960)</x:f>
      </x:c>
      <x:c r="S960" s="32"/>
      <x:c r="T960" s="32"/>
      <x:c r="U960" s="32"/>
      <x:c r="V960" s="32"/>
      <x:c r="W960" s="32"/>
      <x:c r="X960" s="32"/>
      <x:c r="Y960" s="43" t="str">
        <x:f>IF(OR(X960="",X960="Pending"),"",IF(X960="Rejected",0,IF(AND(U960="Ya",V960="Ya",W960="Ya"),1,"")))</x:f>
      </x:c>
      <x:c r="AA960" s="32"/>
      <x:c r="AB960" s="32"/>
      <x:c r="AC960" s="32"/>
      <x:c r="AD960" s="32"/>
      <x:c r="AE960" s="32"/>
      <x:c r="AF960" s="32"/>
      <x:c r="AG960" s="33" t="str">
        <x:f>IF(OR(AE960="",AF960=""),"",IF(AE960="Positif",IF(AF960="Positif","TP","FN"),IF(AF960="Positif","FP","TN")))</x:f>
      </x:c>
    </x:row>
    <x:row r="961">
      <x:c r="A961" s="32"/>
      <x:c r="B961" s="32"/>
      <x:c r="C961" s="32"/>
      <x:c r="D961" s="35"/>
      <x:c r="E961" s="32"/>
      <x:c r="F961" s="32"/>
      <x:c r="G961" s="32"/>
      <x:c r="H961" s="32"/>
      <x:c r="I961" s="32"/>
      <x:c r="J961" s="32"/>
      <x:c r="K961" s="32"/>
      <x:c r="L961" s="32"/>
      <x:c r="M961" s="32"/>
      <x:c r="N961" s="37"/>
      <x:c r="O961" s="32"/>
      <x:c r="P961" s="40"/>
      <x:c r="Q961" s="40"/>
      <x:c r="R961" s="41" t="str">
        <x:f>IF(OR(P961="",Q961=""),"",P961-Q961)</x:f>
      </x:c>
      <x:c r="S961" s="32"/>
      <x:c r="T961" s="32"/>
      <x:c r="U961" s="32"/>
      <x:c r="V961" s="32"/>
      <x:c r="W961" s="32"/>
      <x:c r="X961" s="32"/>
      <x:c r="Y961" s="43" t="str">
        <x:f>IF(OR(X961="",X961="Pending"),"",IF(X961="Rejected",0,IF(AND(U961="Ya",V961="Ya",W961="Ya"),1,"")))</x:f>
      </x:c>
      <x:c r="AA961" s="32"/>
      <x:c r="AB961" s="32"/>
      <x:c r="AC961" s="32"/>
      <x:c r="AD961" s="32"/>
      <x:c r="AE961" s="32"/>
      <x:c r="AF961" s="32"/>
      <x:c r="AG961" s="33" t="str">
        <x:f>IF(OR(AE961="",AF961=""),"",IF(AE961="Positif",IF(AF961="Positif","TP","FN"),IF(AF961="Positif","FP","TN")))</x:f>
      </x:c>
    </x:row>
    <x:row r="962">
      <x:c r="A962" s="32"/>
      <x:c r="B962" s="32"/>
      <x:c r="C962" s="32"/>
      <x:c r="D962" s="35"/>
      <x:c r="E962" s="32"/>
      <x:c r="F962" s="32"/>
      <x:c r="G962" s="32"/>
      <x:c r="H962" s="32"/>
      <x:c r="I962" s="32"/>
      <x:c r="J962" s="32"/>
      <x:c r="K962" s="32"/>
      <x:c r="L962" s="32"/>
      <x:c r="M962" s="32"/>
      <x:c r="N962" s="37"/>
      <x:c r="O962" s="32"/>
      <x:c r="P962" s="40"/>
      <x:c r="Q962" s="40"/>
      <x:c r="R962" s="41" t="str">
        <x:f>IF(OR(P962="",Q962=""),"",P962-Q962)</x:f>
      </x:c>
      <x:c r="S962" s="32"/>
      <x:c r="T962" s="32"/>
      <x:c r="U962" s="32"/>
      <x:c r="V962" s="32"/>
      <x:c r="W962" s="32"/>
      <x:c r="X962" s="32"/>
      <x:c r="Y962" s="43" t="str">
        <x:f>IF(OR(X962="",X962="Pending"),"",IF(X962="Rejected",0,IF(AND(U962="Ya",V962="Ya",W962="Ya"),1,"")))</x:f>
      </x:c>
      <x:c r="AA962" s="32"/>
      <x:c r="AB962" s="32"/>
      <x:c r="AC962" s="32"/>
      <x:c r="AD962" s="32"/>
      <x:c r="AE962" s="32"/>
      <x:c r="AF962" s="32"/>
      <x:c r="AG962" s="33" t="str">
        <x:f>IF(OR(AE962="",AF962=""),"",IF(AE962="Positif",IF(AF962="Positif","TP","FN"),IF(AF962="Positif","FP","TN")))</x:f>
      </x:c>
    </x:row>
    <x:row r="963">
      <x:c r="A963" s="32"/>
      <x:c r="B963" s="32"/>
      <x:c r="C963" s="32"/>
      <x:c r="D963" s="35"/>
      <x:c r="E963" s="32"/>
      <x:c r="F963" s="32"/>
      <x:c r="G963" s="32"/>
      <x:c r="H963" s="32"/>
      <x:c r="I963" s="32"/>
      <x:c r="J963" s="32"/>
      <x:c r="K963" s="32"/>
      <x:c r="L963" s="32"/>
      <x:c r="M963" s="32"/>
      <x:c r="N963" s="37"/>
      <x:c r="O963" s="32"/>
      <x:c r="P963" s="40"/>
      <x:c r="Q963" s="40"/>
      <x:c r="R963" s="41" t="str">
        <x:f>IF(OR(P963="",Q963=""),"",P963-Q963)</x:f>
      </x:c>
      <x:c r="S963" s="32"/>
      <x:c r="T963" s="32"/>
      <x:c r="U963" s="32"/>
      <x:c r="V963" s="32"/>
      <x:c r="W963" s="32"/>
      <x:c r="X963" s="32"/>
      <x:c r="Y963" s="43" t="str">
        <x:f>IF(OR(X963="",X963="Pending"),"",IF(X963="Rejected",0,IF(AND(U963="Ya",V963="Ya",W963="Ya"),1,"")))</x:f>
      </x:c>
      <x:c r="AA963" s="32"/>
      <x:c r="AB963" s="32"/>
      <x:c r="AC963" s="32"/>
      <x:c r="AD963" s="32"/>
      <x:c r="AE963" s="32"/>
      <x:c r="AF963" s="32"/>
      <x:c r="AG963" s="33" t="str">
        <x:f>IF(OR(AE963="",AF963=""),"",IF(AE963="Positif",IF(AF963="Positif","TP","FN"),IF(AF963="Positif","FP","TN")))</x:f>
      </x:c>
    </x:row>
    <x:row r="964">
      <x:c r="A964" s="32"/>
      <x:c r="B964" s="32"/>
      <x:c r="C964" s="32"/>
      <x:c r="D964" s="35"/>
      <x:c r="E964" s="32"/>
      <x:c r="F964" s="32"/>
      <x:c r="G964" s="32"/>
      <x:c r="H964" s="32"/>
      <x:c r="I964" s="32"/>
      <x:c r="J964" s="32"/>
      <x:c r="K964" s="32"/>
      <x:c r="L964" s="32"/>
      <x:c r="M964" s="32"/>
      <x:c r="N964" s="37"/>
      <x:c r="O964" s="32"/>
      <x:c r="P964" s="40"/>
      <x:c r="Q964" s="40"/>
      <x:c r="R964" s="41" t="str">
        <x:f>IF(OR(P964="",Q964=""),"",P964-Q964)</x:f>
      </x:c>
      <x:c r="S964" s="32"/>
      <x:c r="T964" s="32"/>
      <x:c r="U964" s="32"/>
      <x:c r="V964" s="32"/>
      <x:c r="W964" s="32"/>
      <x:c r="X964" s="32"/>
      <x:c r="Y964" s="43" t="str">
        <x:f>IF(OR(X964="",X964="Pending"),"",IF(X964="Rejected",0,IF(AND(U964="Ya",V964="Ya",W964="Ya"),1,"")))</x:f>
      </x:c>
      <x:c r="AA964" s="32"/>
      <x:c r="AB964" s="32"/>
      <x:c r="AC964" s="32"/>
      <x:c r="AD964" s="32"/>
      <x:c r="AE964" s="32"/>
      <x:c r="AF964" s="32"/>
      <x:c r="AG964" s="33" t="str">
        <x:f>IF(OR(AE964="",AF964=""),"",IF(AE964="Positif",IF(AF964="Positif","TP","FN"),IF(AF964="Positif","FP","TN")))</x:f>
      </x:c>
    </x:row>
    <x:row r="965">
      <x:c r="A965" s="32"/>
      <x:c r="B965" s="32"/>
      <x:c r="C965" s="32"/>
      <x:c r="D965" s="35"/>
      <x:c r="E965" s="32"/>
      <x:c r="F965" s="32"/>
      <x:c r="G965" s="32"/>
      <x:c r="H965" s="32"/>
      <x:c r="I965" s="32"/>
      <x:c r="J965" s="32"/>
      <x:c r="K965" s="32"/>
      <x:c r="L965" s="32"/>
      <x:c r="M965" s="32"/>
      <x:c r="N965" s="37"/>
      <x:c r="O965" s="32"/>
      <x:c r="P965" s="40"/>
      <x:c r="Q965" s="40"/>
      <x:c r="R965" s="41" t="str">
        <x:f>IF(OR(P965="",Q965=""),"",P965-Q965)</x:f>
      </x:c>
      <x:c r="S965" s="32"/>
      <x:c r="T965" s="32"/>
      <x:c r="U965" s="32"/>
      <x:c r="V965" s="32"/>
      <x:c r="W965" s="32"/>
      <x:c r="X965" s="32"/>
      <x:c r="Y965" s="43" t="str">
        <x:f>IF(OR(X965="",X965="Pending"),"",IF(X965="Rejected",0,IF(AND(U965="Ya",V965="Ya",W965="Ya"),1,"")))</x:f>
      </x:c>
      <x:c r="AA965" s="32"/>
      <x:c r="AB965" s="32"/>
      <x:c r="AC965" s="32"/>
      <x:c r="AD965" s="32"/>
      <x:c r="AE965" s="32"/>
      <x:c r="AF965" s="32"/>
      <x:c r="AG965" s="33" t="str">
        <x:f>IF(OR(AE965="",AF965=""),"",IF(AE965="Positif",IF(AF965="Positif","TP","FN"),IF(AF965="Positif","FP","TN")))</x:f>
      </x:c>
    </x:row>
    <x:row r="966">
      <x:c r="A966" s="32"/>
      <x:c r="B966" s="32"/>
      <x:c r="C966" s="32"/>
      <x:c r="D966" s="35"/>
      <x:c r="E966" s="32"/>
      <x:c r="F966" s="32"/>
      <x:c r="G966" s="32"/>
      <x:c r="H966" s="32"/>
      <x:c r="I966" s="32"/>
      <x:c r="J966" s="32"/>
      <x:c r="K966" s="32"/>
      <x:c r="L966" s="32"/>
      <x:c r="M966" s="32"/>
      <x:c r="N966" s="37"/>
      <x:c r="O966" s="32"/>
      <x:c r="P966" s="40"/>
      <x:c r="Q966" s="40"/>
      <x:c r="R966" s="41" t="str">
        <x:f>IF(OR(P966="",Q966=""),"",P966-Q966)</x:f>
      </x:c>
      <x:c r="S966" s="32"/>
      <x:c r="T966" s="32"/>
      <x:c r="U966" s="32"/>
      <x:c r="V966" s="32"/>
      <x:c r="W966" s="32"/>
      <x:c r="X966" s="32"/>
      <x:c r="Y966" s="43" t="str">
        <x:f>IF(OR(X966="",X966="Pending"),"",IF(X966="Rejected",0,IF(AND(U966="Ya",V966="Ya",W966="Ya"),1,"")))</x:f>
      </x:c>
      <x:c r="AA966" s="32"/>
      <x:c r="AB966" s="32"/>
      <x:c r="AC966" s="32"/>
      <x:c r="AD966" s="32"/>
      <x:c r="AE966" s="32"/>
      <x:c r="AF966" s="32"/>
      <x:c r="AG966" s="33" t="str">
        <x:f>IF(OR(AE966="",AF966=""),"",IF(AE966="Positif",IF(AF966="Positif","TP","FN"),IF(AF966="Positif","FP","TN")))</x:f>
      </x:c>
    </x:row>
    <x:row r="967">
      <x:c r="A967" s="32"/>
      <x:c r="B967" s="32"/>
      <x:c r="C967" s="32"/>
      <x:c r="D967" s="35"/>
      <x:c r="E967" s="32"/>
      <x:c r="F967" s="32"/>
      <x:c r="G967" s="32"/>
      <x:c r="H967" s="32"/>
      <x:c r="I967" s="32"/>
      <x:c r="J967" s="32"/>
      <x:c r="K967" s="32"/>
      <x:c r="L967" s="32"/>
      <x:c r="M967" s="32"/>
      <x:c r="N967" s="37"/>
      <x:c r="O967" s="32"/>
      <x:c r="P967" s="40"/>
      <x:c r="Q967" s="40"/>
      <x:c r="R967" s="41" t="str">
        <x:f>IF(OR(P967="",Q967=""),"",P967-Q967)</x:f>
      </x:c>
      <x:c r="S967" s="32"/>
      <x:c r="T967" s="32"/>
      <x:c r="U967" s="32"/>
      <x:c r="V967" s="32"/>
      <x:c r="W967" s="32"/>
      <x:c r="X967" s="32"/>
      <x:c r="Y967" s="43" t="str">
        <x:f>IF(OR(X967="",X967="Pending"),"",IF(X967="Rejected",0,IF(AND(U967="Ya",V967="Ya",W967="Ya"),1,"")))</x:f>
      </x:c>
      <x:c r="AA967" s="32"/>
      <x:c r="AB967" s="32"/>
      <x:c r="AC967" s="32"/>
      <x:c r="AD967" s="32"/>
      <x:c r="AE967" s="32"/>
      <x:c r="AF967" s="32"/>
      <x:c r="AG967" s="33" t="str">
        <x:f>IF(OR(AE967="",AF967=""),"",IF(AE967="Positif",IF(AF967="Positif","TP","FN"),IF(AF967="Positif","FP","TN")))</x:f>
      </x:c>
    </x:row>
    <x:row r="968">
      <x:c r="A968" s="32"/>
      <x:c r="B968" s="32"/>
      <x:c r="C968" s="32"/>
      <x:c r="D968" s="35"/>
      <x:c r="E968" s="32"/>
      <x:c r="F968" s="32"/>
      <x:c r="G968" s="32"/>
      <x:c r="H968" s="32"/>
      <x:c r="I968" s="32"/>
      <x:c r="J968" s="32"/>
      <x:c r="K968" s="32"/>
      <x:c r="L968" s="32"/>
      <x:c r="M968" s="32"/>
      <x:c r="N968" s="37"/>
      <x:c r="O968" s="32"/>
      <x:c r="P968" s="40"/>
      <x:c r="Q968" s="40"/>
      <x:c r="R968" s="41" t="str">
        <x:f>IF(OR(P968="",Q968=""),"",P968-Q968)</x:f>
      </x:c>
      <x:c r="S968" s="32"/>
      <x:c r="T968" s="32"/>
      <x:c r="U968" s="32"/>
      <x:c r="V968" s="32"/>
      <x:c r="W968" s="32"/>
      <x:c r="X968" s="32"/>
      <x:c r="Y968" s="43" t="str">
        <x:f>IF(OR(X968="",X968="Pending"),"",IF(X968="Rejected",0,IF(AND(U968="Ya",V968="Ya",W968="Ya"),1,"")))</x:f>
      </x:c>
      <x:c r="AA968" s="32"/>
      <x:c r="AB968" s="32"/>
      <x:c r="AC968" s="32"/>
      <x:c r="AD968" s="32"/>
      <x:c r="AE968" s="32"/>
      <x:c r="AF968" s="32"/>
      <x:c r="AG968" s="33" t="str">
        <x:f>IF(OR(AE968="",AF968=""),"",IF(AE968="Positif",IF(AF968="Positif","TP","FN"),IF(AF968="Positif","FP","TN")))</x:f>
      </x:c>
    </x:row>
    <x:row r="969">
      <x:c r="A969" s="32"/>
      <x:c r="B969" s="32"/>
      <x:c r="C969" s="32"/>
      <x:c r="D969" s="35"/>
      <x:c r="E969" s="32"/>
      <x:c r="F969" s="32"/>
      <x:c r="G969" s="32"/>
      <x:c r="H969" s="32"/>
      <x:c r="I969" s="32"/>
      <x:c r="J969" s="32"/>
      <x:c r="K969" s="32"/>
      <x:c r="L969" s="32"/>
      <x:c r="M969" s="32"/>
      <x:c r="N969" s="37"/>
      <x:c r="O969" s="32"/>
      <x:c r="P969" s="40"/>
      <x:c r="Q969" s="40"/>
      <x:c r="R969" s="41" t="str">
        <x:f>IF(OR(P969="",Q969=""),"",P969-Q969)</x:f>
      </x:c>
      <x:c r="S969" s="32"/>
      <x:c r="T969" s="32"/>
      <x:c r="U969" s="32"/>
      <x:c r="V969" s="32"/>
      <x:c r="W969" s="32"/>
      <x:c r="X969" s="32"/>
      <x:c r="Y969" s="43" t="str">
        <x:f>IF(OR(X969="",X969="Pending"),"",IF(X969="Rejected",0,IF(AND(U969="Ya",V969="Ya",W969="Ya"),1,"")))</x:f>
      </x:c>
      <x:c r="AA969" s="32"/>
      <x:c r="AB969" s="32"/>
      <x:c r="AC969" s="32"/>
      <x:c r="AD969" s="32"/>
      <x:c r="AE969" s="32"/>
      <x:c r="AF969" s="32"/>
      <x:c r="AG969" s="33" t="str">
        <x:f>IF(OR(AE969="",AF969=""),"",IF(AE969="Positif",IF(AF969="Positif","TP","FN"),IF(AF969="Positif","FP","TN")))</x:f>
      </x:c>
    </x:row>
    <x:row r="970">
      <x:c r="A970" s="32"/>
      <x:c r="B970" s="32"/>
      <x:c r="C970" s="32"/>
      <x:c r="D970" s="35"/>
      <x:c r="E970" s="32"/>
      <x:c r="F970" s="32"/>
      <x:c r="G970" s="32"/>
      <x:c r="H970" s="32"/>
      <x:c r="I970" s="32"/>
      <x:c r="J970" s="32"/>
      <x:c r="K970" s="32"/>
      <x:c r="L970" s="32"/>
      <x:c r="M970" s="32"/>
      <x:c r="N970" s="37"/>
      <x:c r="O970" s="32"/>
      <x:c r="P970" s="40"/>
      <x:c r="Q970" s="40"/>
      <x:c r="R970" s="41" t="str">
        <x:f>IF(OR(P970="",Q970=""),"",P970-Q970)</x:f>
      </x:c>
      <x:c r="S970" s="32"/>
      <x:c r="T970" s="32"/>
      <x:c r="U970" s="32"/>
      <x:c r="V970" s="32"/>
      <x:c r="W970" s="32"/>
      <x:c r="X970" s="32"/>
      <x:c r="Y970" s="43" t="str">
        <x:f>IF(OR(X970="",X970="Pending"),"",IF(X970="Rejected",0,IF(AND(U970="Ya",V970="Ya",W970="Ya"),1,"")))</x:f>
      </x:c>
      <x:c r="AA970" s="32"/>
      <x:c r="AB970" s="32"/>
      <x:c r="AC970" s="32"/>
      <x:c r="AD970" s="32"/>
      <x:c r="AE970" s="32"/>
      <x:c r="AF970" s="32"/>
      <x:c r="AG970" s="33" t="str">
        <x:f>IF(OR(AE970="",AF970=""),"",IF(AE970="Positif",IF(AF970="Positif","TP","FN"),IF(AF970="Positif","FP","TN")))</x:f>
      </x:c>
    </x:row>
    <x:row r="971">
      <x:c r="A971" s="32"/>
      <x:c r="B971" s="32"/>
      <x:c r="C971" s="32"/>
      <x:c r="D971" s="35"/>
      <x:c r="E971" s="32"/>
      <x:c r="F971" s="32"/>
      <x:c r="G971" s="32"/>
      <x:c r="H971" s="32"/>
      <x:c r="I971" s="32"/>
      <x:c r="J971" s="32"/>
      <x:c r="K971" s="32"/>
      <x:c r="L971" s="32"/>
      <x:c r="M971" s="32"/>
      <x:c r="N971" s="37"/>
      <x:c r="O971" s="32"/>
      <x:c r="P971" s="40"/>
      <x:c r="Q971" s="40"/>
      <x:c r="R971" s="41" t="str">
        <x:f>IF(OR(P971="",Q971=""),"",P971-Q971)</x:f>
      </x:c>
      <x:c r="S971" s="32"/>
      <x:c r="T971" s="32"/>
      <x:c r="U971" s="32"/>
      <x:c r="V971" s="32"/>
      <x:c r="W971" s="32"/>
      <x:c r="X971" s="32"/>
      <x:c r="Y971" s="43" t="str">
        <x:f>IF(OR(X971="",X971="Pending"),"",IF(X971="Rejected",0,IF(AND(U971="Ya",V971="Ya",W971="Ya"),1,"")))</x:f>
      </x:c>
      <x:c r="AA971" s="32"/>
      <x:c r="AB971" s="32"/>
      <x:c r="AC971" s="32"/>
      <x:c r="AD971" s="32"/>
      <x:c r="AE971" s="32"/>
      <x:c r="AF971" s="32"/>
      <x:c r="AG971" s="33" t="str">
        <x:f>IF(OR(AE971="",AF971=""),"",IF(AE971="Positif",IF(AF971="Positif","TP","FN"),IF(AF971="Positif","FP","TN")))</x:f>
      </x:c>
    </x:row>
    <x:row r="972">
      <x:c r="A972" s="32"/>
      <x:c r="B972" s="32"/>
      <x:c r="C972" s="32"/>
      <x:c r="D972" s="35"/>
      <x:c r="E972" s="32"/>
      <x:c r="F972" s="32"/>
      <x:c r="G972" s="32"/>
      <x:c r="H972" s="32"/>
      <x:c r="I972" s="32"/>
      <x:c r="J972" s="32"/>
      <x:c r="K972" s="32"/>
      <x:c r="L972" s="32"/>
      <x:c r="M972" s="32"/>
      <x:c r="N972" s="37"/>
      <x:c r="O972" s="32"/>
      <x:c r="P972" s="40"/>
      <x:c r="Q972" s="40"/>
      <x:c r="R972" s="41" t="str">
        <x:f>IF(OR(P972="",Q972=""),"",P972-Q972)</x:f>
      </x:c>
      <x:c r="S972" s="32"/>
      <x:c r="T972" s="32"/>
      <x:c r="U972" s="32"/>
      <x:c r="V972" s="32"/>
      <x:c r="W972" s="32"/>
      <x:c r="X972" s="32"/>
      <x:c r="Y972" s="43" t="str">
        <x:f>IF(OR(X972="",X972="Pending"),"",IF(X972="Rejected",0,IF(AND(U972="Ya",V972="Ya",W972="Ya"),1,"")))</x:f>
      </x:c>
      <x:c r="AA972" s="32"/>
      <x:c r="AB972" s="32"/>
      <x:c r="AC972" s="32"/>
      <x:c r="AD972" s="32"/>
      <x:c r="AE972" s="32"/>
      <x:c r="AF972" s="32"/>
      <x:c r="AG972" s="33" t="str">
        <x:f>IF(OR(AE972="",AF972=""),"",IF(AE972="Positif",IF(AF972="Positif","TP","FN"),IF(AF972="Positif","FP","TN")))</x:f>
      </x:c>
    </x:row>
    <x:row r="973">
      <x:c r="A973" s="32"/>
      <x:c r="B973" s="32"/>
      <x:c r="C973" s="32"/>
      <x:c r="D973" s="35"/>
      <x:c r="E973" s="32"/>
      <x:c r="F973" s="32"/>
      <x:c r="G973" s="32"/>
      <x:c r="H973" s="32"/>
      <x:c r="I973" s="32"/>
      <x:c r="J973" s="32"/>
      <x:c r="K973" s="32"/>
      <x:c r="L973" s="32"/>
      <x:c r="M973" s="32"/>
      <x:c r="N973" s="37"/>
      <x:c r="O973" s="32"/>
      <x:c r="P973" s="40"/>
      <x:c r="Q973" s="40"/>
      <x:c r="R973" s="41" t="str">
        <x:f>IF(OR(P973="",Q973=""),"",P973-Q973)</x:f>
      </x:c>
      <x:c r="S973" s="32"/>
      <x:c r="T973" s="32"/>
      <x:c r="U973" s="32"/>
      <x:c r="V973" s="32"/>
      <x:c r="W973" s="32"/>
      <x:c r="X973" s="32"/>
      <x:c r="Y973" s="43" t="str">
        <x:f>IF(OR(X973="",X973="Pending"),"",IF(X973="Rejected",0,IF(AND(U973="Ya",V973="Ya",W973="Ya"),1,"")))</x:f>
      </x:c>
      <x:c r="AA973" s="32"/>
      <x:c r="AB973" s="32"/>
      <x:c r="AC973" s="32"/>
      <x:c r="AD973" s="32"/>
      <x:c r="AE973" s="32"/>
      <x:c r="AF973" s="32"/>
      <x:c r="AG973" s="33" t="str">
        <x:f>IF(OR(AE973="",AF973=""),"",IF(AE973="Positif",IF(AF973="Positif","TP","FN"),IF(AF973="Positif","FP","TN")))</x:f>
      </x:c>
    </x:row>
    <x:row r="974">
      <x:c r="A974" s="32"/>
      <x:c r="B974" s="32"/>
      <x:c r="C974" s="32"/>
      <x:c r="D974" s="35"/>
      <x:c r="E974" s="32"/>
      <x:c r="F974" s="32"/>
      <x:c r="G974" s="32"/>
      <x:c r="H974" s="32"/>
      <x:c r="I974" s="32"/>
      <x:c r="J974" s="32"/>
      <x:c r="K974" s="32"/>
      <x:c r="L974" s="32"/>
      <x:c r="M974" s="32"/>
      <x:c r="N974" s="37"/>
      <x:c r="O974" s="32"/>
      <x:c r="P974" s="40"/>
      <x:c r="Q974" s="40"/>
      <x:c r="R974" s="41" t="str">
        <x:f>IF(OR(P974="",Q974=""),"",P974-Q974)</x:f>
      </x:c>
      <x:c r="S974" s="32"/>
      <x:c r="T974" s="32"/>
      <x:c r="U974" s="32"/>
      <x:c r="V974" s="32"/>
      <x:c r="W974" s="32"/>
      <x:c r="X974" s="32"/>
      <x:c r="Y974" s="43" t="str">
        <x:f>IF(OR(X974="",X974="Pending"),"",IF(X974="Rejected",0,IF(AND(U974="Ya",V974="Ya",W974="Ya"),1,"")))</x:f>
      </x:c>
      <x:c r="AA974" s="32"/>
      <x:c r="AB974" s="32"/>
      <x:c r="AC974" s="32"/>
      <x:c r="AD974" s="32"/>
      <x:c r="AE974" s="32"/>
      <x:c r="AF974" s="32"/>
      <x:c r="AG974" s="33" t="str">
        <x:f>IF(OR(AE974="",AF974=""),"",IF(AE974="Positif",IF(AF974="Positif","TP","FN"),IF(AF974="Positif","FP","TN")))</x:f>
      </x:c>
    </x:row>
    <x:row r="975">
      <x:c r="A975" s="32"/>
      <x:c r="B975" s="32"/>
      <x:c r="C975" s="32"/>
      <x:c r="D975" s="35"/>
      <x:c r="E975" s="32"/>
      <x:c r="F975" s="32"/>
      <x:c r="G975" s="32"/>
      <x:c r="H975" s="32"/>
      <x:c r="I975" s="32"/>
      <x:c r="J975" s="32"/>
      <x:c r="K975" s="32"/>
      <x:c r="L975" s="32"/>
      <x:c r="M975" s="32"/>
      <x:c r="N975" s="37"/>
      <x:c r="O975" s="32"/>
      <x:c r="P975" s="40"/>
      <x:c r="Q975" s="40"/>
      <x:c r="R975" s="41" t="str">
        <x:f>IF(OR(P975="",Q975=""),"",P975-Q975)</x:f>
      </x:c>
      <x:c r="S975" s="32"/>
      <x:c r="T975" s="32"/>
      <x:c r="U975" s="32"/>
      <x:c r="V975" s="32"/>
      <x:c r="W975" s="32"/>
      <x:c r="X975" s="32"/>
      <x:c r="Y975" s="43" t="str">
        <x:f>IF(OR(X975="",X975="Pending"),"",IF(X975="Rejected",0,IF(AND(U975="Ya",V975="Ya",W975="Ya"),1,"")))</x:f>
      </x:c>
      <x:c r="AA975" s="32"/>
      <x:c r="AB975" s="32"/>
      <x:c r="AC975" s="32"/>
      <x:c r="AD975" s="32"/>
      <x:c r="AE975" s="32"/>
      <x:c r="AF975" s="32"/>
      <x:c r="AG975" s="33" t="str">
        <x:f>IF(OR(AE975="",AF975=""),"",IF(AE975="Positif",IF(AF975="Positif","TP","FN"),IF(AF975="Positif","FP","TN")))</x:f>
      </x:c>
    </x:row>
    <x:row r="976">
      <x:c r="A976" s="32"/>
      <x:c r="B976" s="32"/>
      <x:c r="C976" s="32"/>
      <x:c r="D976" s="35"/>
      <x:c r="E976" s="32"/>
      <x:c r="F976" s="32"/>
      <x:c r="G976" s="32"/>
      <x:c r="H976" s="32"/>
      <x:c r="I976" s="32"/>
      <x:c r="J976" s="32"/>
      <x:c r="K976" s="32"/>
      <x:c r="L976" s="32"/>
      <x:c r="M976" s="32"/>
      <x:c r="N976" s="37"/>
      <x:c r="O976" s="32"/>
      <x:c r="P976" s="40"/>
      <x:c r="Q976" s="40"/>
      <x:c r="R976" s="41" t="str">
        <x:f>IF(OR(P976="",Q976=""),"",P976-Q976)</x:f>
      </x:c>
      <x:c r="S976" s="32"/>
      <x:c r="T976" s="32"/>
      <x:c r="U976" s="32"/>
      <x:c r="V976" s="32"/>
      <x:c r="W976" s="32"/>
      <x:c r="X976" s="32"/>
      <x:c r="Y976" s="43" t="str">
        <x:f>IF(OR(X976="",X976="Pending"),"",IF(X976="Rejected",0,IF(AND(U976="Ya",V976="Ya",W976="Ya"),1,"")))</x:f>
      </x:c>
      <x:c r="AA976" s="32"/>
      <x:c r="AB976" s="32"/>
      <x:c r="AC976" s="32"/>
      <x:c r="AD976" s="32"/>
      <x:c r="AE976" s="32"/>
      <x:c r="AF976" s="32"/>
      <x:c r="AG976" s="33" t="str">
        <x:f>IF(OR(AE976="",AF976=""),"",IF(AE976="Positif",IF(AF976="Positif","TP","FN"),IF(AF976="Positif","FP","TN")))</x:f>
      </x:c>
    </x:row>
    <x:row r="977">
      <x:c r="A977" s="32"/>
      <x:c r="B977" s="32"/>
      <x:c r="C977" s="32"/>
      <x:c r="D977" s="35"/>
      <x:c r="E977" s="32"/>
      <x:c r="F977" s="32"/>
      <x:c r="G977" s="32"/>
      <x:c r="H977" s="32"/>
      <x:c r="I977" s="32"/>
      <x:c r="J977" s="32"/>
      <x:c r="K977" s="32"/>
      <x:c r="L977" s="32"/>
      <x:c r="M977" s="32"/>
      <x:c r="N977" s="37"/>
      <x:c r="O977" s="32"/>
      <x:c r="P977" s="40"/>
      <x:c r="Q977" s="40"/>
      <x:c r="R977" s="41" t="str">
        <x:f>IF(OR(P977="",Q977=""),"",P977-Q977)</x:f>
      </x:c>
      <x:c r="S977" s="32"/>
      <x:c r="T977" s="32"/>
      <x:c r="U977" s="32"/>
      <x:c r="V977" s="32"/>
      <x:c r="W977" s="32"/>
      <x:c r="X977" s="32"/>
      <x:c r="Y977" s="43" t="str">
        <x:f>IF(OR(X977="",X977="Pending"),"",IF(X977="Rejected",0,IF(AND(U977="Ya",V977="Ya",W977="Ya"),1,"")))</x:f>
      </x:c>
      <x:c r="AA977" s="32"/>
      <x:c r="AB977" s="32"/>
      <x:c r="AC977" s="32"/>
      <x:c r="AD977" s="32"/>
      <x:c r="AE977" s="32"/>
      <x:c r="AF977" s="32"/>
      <x:c r="AG977" s="33" t="str">
        <x:f>IF(OR(AE977="",AF977=""),"",IF(AE977="Positif",IF(AF977="Positif","TP","FN"),IF(AF977="Positif","FP","TN")))</x:f>
      </x:c>
    </x:row>
    <x:row r="978">
      <x:c r="A978" s="32"/>
      <x:c r="B978" s="32"/>
      <x:c r="C978" s="32"/>
      <x:c r="D978" s="35"/>
      <x:c r="E978" s="32"/>
      <x:c r="F978" s="32"/>
      <x:c r="G978" s="32"/>
      <x:c r="H978" s="32"/>
      <x:c r="I978" s="32"/>
      <x:c r="J978" s="32"/>
      <x:c r="K978" s="32"/>
      <x:c r="L978" s="32"/>
      <x:c r="M978" s="32"/>
      <x:c r="N978" s="37"/>
      <x:c r="O978" s="32"/>
      <x:c r="P978" s="40"/>
      <x:c r="Q978" s="40"/>
      <x:c r="R978" s="41" t="str">
        <x:f>IF(OR(P978="",Q978=""),"",P978-Q978)</x:f>
      </x:c>
      <x:c r="S978" s="32"/>
      <x:c r="T978" s="32"/>
      <x:c r="U978" s="32"/>
      <x:c r="V978" s="32"/>
      <x:c r="W978" s="32"/>
      <x:c r="X978" s="32"/>
      <x:c r="Y978" s="43" t="str">
        <x:f>IF(OR(X978="",X978="Pending"),"",IF(X978="Rejected",0,IF(AND(U978="Ya",V978="Ya",W978="Ya"),1,"")))</x:f>
      </x:c>
      <x:c r="AA978" s="32"/>
      <x:c r="AB978" s="32"/>
      <x:c r="AC978" s="32"/>
      <x:c r="AD978" s="32"/>
      <x:c r="AE978" s="32"/>
      <x:c r="AF978" s="32"/>
      <x:c r="AG978" s="33" t="str">
        <x:f>IF(OR(AE978="",AF978=""),"",IF(AE978="Positif",IF(AF978="Positif","TP","FN"),IF(AF978="Positif","FP","TN")))</x:f>
      </x:c>
    </x:row>
    <x:row r="979">
      <x:c r="A979" s="32"/>
      <x:c r="B979" s="32"/>
      <x:c r="C979" s="32"/>
      <x:c r="D979" s="35"/>
      <x:c r="E979" s="32"/>
      <x:c r="F979" s="32"/>
      <x:c r="G979" s="32"/>
      <x:c r="H979" s="32"/>
      <x:c r="I979" s="32"/>
      <x:c r="J979" s="32"/>
      <x:c r="K979" s="32"/>
      <x:c r="L979" s="32"/>
      <x:c r="M979" s="32"/>
      <x:c r="N979" s="37"/>
      <x:c r="O979" s="32"/>
      <x:c r="P979" s="40"/>
      <x:c r="Q979" s="40"/>
      <x:c r="R979" s="41" t="str">
        <x:f>IF(OR(P979="",Q979=""),"",P979-Q979)</x:f>
      </x:c>
      <x:c r="S979" s="32"/>
      <x:c r="T979" s="32"/>
      <x:c r="U979" s="32"/>
      <x:c r="V979" s="32"/>
      <x:c r="W979" s="32"/>
      <x:c r="X979" s="32"/>
      <x:c r="Y979" s="43" t="str">
        <x:f>IF(OR(X979="",X979="Pending"),"",IF(X979="Rejected",0,IF(AND(U979="Ya",V979="Ya",W979="Ya"),1,"")))</x:f>
      </x:c>
      <x:c r="AA979" s="32"/>
      <x:c r="AB979" s="32"/>
      <x:c r="AC979" s="32"/>
      <x:c r="AD979" s="32"/>
      <x:c r="AE979" s="32"/>
      <x:c r="AF979" s="32"/>
      <x:c r="AG979" s="33" t="str">
        <x:f>IF(OR(AE979="",AF979=""),"",IF(AE979="Positif",IF(AF979="Positif","TP","FN"),IF(AF979="Positif","FP","TN")))</x:f>
      </x:c>
    </x:row>
    <x:row r="980">
      <x:c r="A980" s="32"/>
      <x:c r="B980" s="32"/>
      <x:c r="C980" s="32"/>
      <x:c r="D980" s="35"/>
      <x:c r="E980" s="32"/>
      <x:c r="F980" s="32"/>
      <x:c r="G980" s="32"/>
      <x:c r="H980" s="32"/>
      <x:c r="I980" s="32"/>
      <x:c r="J980" s="32"/>
      <x:c r="K980" s="32"/>
      <x:c r="L980" s="32"/>
      <x:c r="M980" s="32"/>
      <x:c r="N980" s="37"/>
      <x:c r="O980" s="32"/>
      <x:c r="P980" s="40"/>
      <x:c r="Q980" s="40"/>
      <x:c r="R980" s="41" t="str">
        <x:f>IF(OR(P980="",Q980=""),"",P980-Q980)</x:f>
      </x:c>
      <x:c r="S980" s="32"/>
      <x:c r="T980" s="32"/>
      <x:c r="U980" s="32"/>
      <x:c r="V980" s="32"/>
      <x:c r="W980" s="32"/>
      <x:c r="X980" s="32"/>
      <x:c r="Y980" s="43" t="str">
        <x:f>IF(OR(X980="",X980="Pending"),"",IF(X980="Rejected",0,IF(AND(U980="Ya",V980="Ya",W980="Ya"),1,"")))</x:f>
      </x:c>
      <x:c r="AA980" s="32"/>
      <x:c r="AB980" s="32"/>
      <x:c r="AC980" s="32"/>
      <x:c r="AD980" s="32"/>
      <x:c r="AE980" s="32"/>
      <x:c r="AF980" s="32"/>
      <x:c r="AG980" s="33" t="str">
        <x:f>IF(OR(AE980="",AF980=""),"",IF(AE980="Positif",IF(AF980="Positif","TP","FN"),IF(AF980="Positif","FP","TN")))</x:f>
      </x:c>
    </x:row>
    <x:row r="981">
      <x:c r="A981" s="32"/>
      <x:c r="B981" s="32"/>
      <x:c r="C981" s="32"/>
      <x:c r="D981" s="35"/>
      <x:c r="E981" s="32"/>
      <x:c r="F981" s="32"/>
      <x:c r="G981" s="32"/>
      <x:c r="H981" s="32"/>
      <x:c r="I981" s="32"/>
      <x:c r="J981" s="32"/>
      <x:c r="K981" s="32"/>
      <x:c r="L981" s="32"/>
      <x:c r="M981" s="32"/>
      <x:c r="N981" s="37"/>
      <x:c r="O981" s="32"/>
      <x:c r="P981" s="40"/>
      <x:c r="Q981" s="40"/>
      <x:c r="R981" s="41" t="str">
        <x:f>IF(OR(P981="",Q981=""),"",P981-Q981)</x:f>
      </x:c>
      <x:c r="S981" s="32"/>
      <x:c r="T981" s="32"/>
      <x:c r="U981" s="32"/>
      <x:c r="V981" s="32"/>
      <x:c r="W981" s="32"/>
      <x:c r="X981" s="32"/>
      <x:c r="Y981" s="43" t="str">
        <x:f>IF(OR(X981="",X981="Pending"),"",IF(X981="Rejected",0,IF(AND(U981="Ya",V981="Ya",W981="Ya"),1,"")))</x:f>
      </x:c>
      <x:c r="AA981" s="32"/>
      <x:c r="AB981" s="32"/>
      <x:c r="AC981" s="32"/>
      <x:c r="AD981" s="32"/>
      <x:c r="AE981" s="32"/>
      <x:c r="AF981" s="32"/>
      <x:c r="AG981" s="33" t="str">
        <x:f>IF(OR(AE981="",AF981=""),"",IF(AE981="Positif",IF(AF981="Positif","TP","FN"),IF(AF981="Positif","FP","TN")))</x:f>
      </x:c>
    </x:row>
    <x:row r="982">
      <x:c r="A982" s="32"/>
      <x:c r="B982" s="32"/>
      <x:c r="C982" s="32"/>
      <x:c r="D982" s="35"/>
      <x:c r="E982" s="32"/>
      <x:c r="F982" s="32"/>
      <x:c r="G982" s="32"/>
      <x:c r="H982" s="32"/>
      <x:c r="I982" s="32"/>
      <x:c r="J982" s="32"/>
      <x:c r="K982" s="32"/>
      <x:c r="L982" s="32"/>
      <x:c r="M982" s="32"/>
      <x:c r="N982" s="37"/>
      <x:c r="O982" s="32"/>
      <x:c r="P982" s="40"/>
      <x:c r="Q982" s="40"/>
      <x:c r="R982" s="41" t="str">
        <x:f>IF(OR(P982="",Q982=""),"",P982-Q982)</x:f>
      </x:c>
      <x:c r="S982" s="32"/>
      <x:c r="T982" s="32"/>
      <x:c r="U982" s="32"/>
      <x:c r="V982" s="32"/>
      <x:c r="W982" s="32"/>
      <x:c r="X982" s="32"/>
      <x:c r="Y982" s="43" t="str">
        <x:f>IF(OR(X982="",X982="Pending"),"",IF(X982="Rejected",0,IF(AND(U982="Ya",V982="Ya",W982="Ya"),1,"")))</x:f>
      </x:c>
      <x:c r="AA982" s="32"/>
      <x:c r="AB982" s="32"/>
      <x:c r="AC982" s="32"/>
      <x:c r="AD982" s="32"/>
      <x:c r="AE982" s="32"/>
      <x:c r="AF982" s="32"/>
      <x:c r="AG982" s="33" t="str">
        <x:f>IF(OR(AE982="",AF982=""),"",IF(AE982="Positif",IF(AF982="Positif","TP","FN"),IF(AF982="Positif","FP","TN")))</x:f>
      </x:c>
    </x:row>
    <x:row r="983">
      <x:c r="A983" s="32"/>
      <x:c r="B983" s="32"/>
      <x:c r="C983" s="32"/>
      <x:c r="D983" s="35"/>
      <x:c r="E983" s="32"/>
      <x:c r="F983" s="32"/>
      <x:c r="G983" s="32"/>
      <x:c r="H983" s="32"/>
      <x:c r="I983" s="32"/>
      <x:c r="J983" s="32"/>
      <x:c r="K983" s="32"/>
      <x:c r="L983" s="32"/>
      <x:c r="M983" s="32"/>
      <x:c r="N983" s="37"/>
      <x:c r="O983" s="32"/>
      <x:c r="P983" s="40"/>
      <x:c r="Q983" s="40"/>
      <x:c r="R983" s="41" t="str">
        <x:f>IF(OR(P983="",Q983=""),"",P983-Q983)</x:f>
      </x:c>
      <x:c r="S983" s="32"/>
      <x:c r="T983" s="32"/>
      <x:c r="U983" s="32"/>
      <x:c r="V983" s="32"/>
      <x:c r="W983" s="32"/>
      <x:c r="X983" s="32"/>
      <x:c r="Y983" s="43" t="str">
        <x:f>IF(OR(X983="",X983="Pending"),"",IF(X983="Rejected",0,IF(AND(U983="Ya",V983="Ya",W983="Ya"),1,"")))</x:f>
      </x:c>
      <x:c r="AA983" s="32"/>
      <x:c r="AB983" s="32"/>
      <x:c r="AC983" s="32"/>
      <x:c r="AD983" s="32"/>
      <x:c r="AE983" s="32"/>
      <x:c r="AF983" s="32"/>
      <x:c r="AG983" s="33" t="str">
        <x:f>IF(OR(AE983="",AF983=""),"",IF(AE983="Positif",IF(AF983="Positif","TP","FN"),IF(AF983="Positif","FP","TN")))</x:f>
      </x:c>
    </x:row>
    <x:row r="984">
      <x:c r="A984" s="32"/>
      <x:c r="B984" s="32"/>
      <x:c r="C984" s="32"/>
      <x:c r="D984" s="35"/>
      <x:c r="E984" s="32"/>
      <x:c r="F984" s="32"/>
      <x:c r="G984" s="32"/>
      <x:c r="H984" s="32"/>
      <x:c r="I984" s="32"/>
      <x:c r="J984" s="32"/>
      <x:c r="K984" s="32"/>
      <x:c r="L984" s="32"/>
      <x:c r="M984" s="32"/>
      <x:c r="N984" s="37"/>
      <x:c r="O984" s="32"/>
      <x:c r="P984" s="40"/>
      <x:c r="Q984" s="40"/>
      <x:c r="R984" s="41" t="str">
        <x:f>IF(OR(P984="",Q984=""),"",P984-Q984)</x:f>
      </x:c>
      <x:c r="S984" s="32"/>
      <x:c r="T984" s="32"/>
      <x:c r="U984" s="32"/>
      <x:c r="V984" s="32"/>
      <x:c r="W984" s="32"/>
      <x:c r="X984" s="32"/>
      <x:c r="Y984" s="43" t="str">
        <x:f>IF(OR(X984="",X984="Pending"),"",IF(X984="Rejected",0,IF(AND(U984="Ya",V984="Ya",W984="Ya"),1,"")))</x:f>
      </x:c>
      <x:c r="AA984" s="32"/>
      <x:c r="AB984" s="32"/>
      <x:c r="AC984" s="32"/>
      <x:c r="AD984" s="32"/>
      <x:c r="AE984" s="32"/>
      <x:c r="AF984" s="32"/>
      <x:c r="AG984" s="33" t="str">
        <x:f>IF(OR(AE984="",AF984=""),"",IF(AE984="Positif",IF(AF984="Positif","TP","FN"),IF(AF984="Positif","FP","TN")))</x:f>
      </x:c>
    </x:row>
    <x:row r="985">
      <x:c r="A985" s="32"/>
      <x:c r="B985" s="32"/>
      <x:c r="C985" s="32"/>
      <x:c r="D985" s="35"/>
      <x:c r="E985" s="32"/>
      <x:c r="F985" s="32"/>
      <x:c r="G985" s="32"/>
      <x:c r="H985" s="32"/>
      <x:c r="I985" s="32"/>
      <x:c r="J985" s="32"/>
      <x:c r="K985" s="32"/>
      <x:c r="L985" s="32"/>
      <x:c r="M985" s="32"/>
      <x:c r="N985" s="37"/>
      <x:c r="O985" s="32"/>
      <x:c r="P985" s="40"/>
      <x:c r="Q985" s="40"/>
      <x:c r="R985" s="41" t="str">
        <x:f>IF(OR(P985="",Q985=""),"",P985-Q985)</x:f>
      </x:c>
      <x:c r="S985" s="32"/>
      <x:c r="T985" s="32"/>
      <x:c r="U985" s="32"/>
      <x:c r="V985" s="32"/>
      <x:c r="W985" s="32"/>
      <x:c r="X985" s="32"/>
      <x:c r="Y985" s="43" t="str">
        <x:f>IF(OR(X985="",X985="Pending"),"",IF(X985="Rejected",0,IF(AND(U985="Ya",V985="Ya",W985="Ya"),1,"")))</x:f>
      </x:c>
      <x:c r="AA985" s="32"/>
      <x:c r="AB985" s="32"/>
      <x:c r="AC985" s="32"/>
      <x:c r="AD985" s="32"/>
      <x:c r="AE985" s="32"/>
      <x:c r="AF985" s="32"/>
      <x:c r="AG985" s="33" t="str">
        <x:f>IF(OR(AE985="",AF985=""),"",IF(AE985="Positif",IF(AF985="Positif","TP","FN"),IF(AF985="Positif","FP","TN")))</x:f>
      </x:c>
    </x:row>
    <x:row r="986">
      <x:c r="A986" s="32"/>
      <x:c r="B986" s="32"/>
      <x:c r="C986" s="32"/>
      <x:c r="D986" s="35"/>
      <x:c r="E986" s="32"/>
      <x:c r="F986" s="32"/>
      <x:c r="G986" s="32"/>
      <x:c r="H986" s="32"/>
      <x:c r="I986" s="32"/>
      <x:c r="J986" s="32"/>
      <x:c r="K986" s="32"/>
      <x:c r="L986" s="32"/>
      <x:c r="M986" s="32"/>
      <x:c r="N986" s="37"/>
      <x:c r="O986" s="32"/>
      <x:c r="P986" s="40"/>
      <x:c r="Q986" s="40"/>
      <x:c r="R986" s="41" t="str">
        <x:f>IF(OR(P986="",Q986=""),"",P986-Q986)</x:f>
      </x:c>
      <x:c r="S986" s="32"/>
      <x:c r="T986" s="32"/>
      <x:c r="U986" s="32"/>
      <x:c r="V986" s="32"/>
      <x:c r="W986" s="32"/>
      <x:c r="X986" s="32"/>
      <x:c r="Y986" s="43" t="str">
        <x:f>IF(OR(X986="",X986="Pending"),"",IF(X986="Rejected",0,IF(AND(U986="Ya",V986="Ya",W986="Ya"),1,"")))</x:f>
      </x:c>
      <x:c r="AA986" s="32"/>
      <x:c r="AB986" s="32"/>
      <x:c r="AC986" s="32"/>
      <x:c r="AD986" s="32"/>
      <x:c r="AE986" s="32"/>
      <x:c r="AF986" s="32"/>
      <x:c r="AG986" s="33" t="str">
        <x:f>IF(OR(AE986="",AF986=""),"",IF(AE986="Positif",IF(AF986="Positif","TP","FN"),IF(AF986="Positif","FP","TN")))</x:f>
      </x:c>
    </x:row>
    <x:row r="987">
      <x:c r="A987" s="32"/>
      <x:c r="B987" s="32"/>
      <x:c r="C987" s="32"/>
      <x:c r="D987" s="35"/>
      <x:c r="E987" s="32"/>
      <x:c r="F987" s="32"/>
      <x:c r="G987" s="32"/>
      <x:c r="H987" s="32"/>
      <x:c r="I987" s="32"/>
      <x:c r="J987" s="32"/>
      <x:c r="K987" s="32"/>
      <x:c r="L987" s="32"/>
      <x:c r="M987" s="32"/>
      <x:c r="N987" s="37"/>
      <x:c r="O987" s="32"/>
      <x:c r="P987" s="40"/>
      <x:c r="Q987" s="40"/>
      <x:c r="R987" s="41" t="str">
        <x:f>IF(OR(P987="",Q987=""),"",P987-Q987)</x:f>
      </x:c>
      <x:c r="S987" s="32"/>
      <x:c r="T987" s="32"/>
      <x:c r="U987" s="32"/>
      <x:c r="V987" s="32"/>
      <x:c r="W987" s="32"/>
      <x:c r="X987" s="32"/>
      <x:c r="Y987" s="43" t="str">
        <x:f>IF(OR(X987="",X987="Pending"),"",IF(X987="Rejected",0,IF(AND(U987="Ya",V987="Ya",W987="Ya"),1,"")))</x:f>
      </x:c>
      <x:c r="AA987" s="32"/>
      <x:c r="AB987" s="32"/>
      <x:c r="AC987" s="32"/>
      <x:c r="AD987" s="32"/>
      <x:c r="AE987" s="32"/>
      <x:c r="AF987" s="32"/>
      <x:c r="AG987" s="33" t="str">
        <x:f>IF(OR(AE987="",AF987=""),"",IF(AE987="Positif",IF(AF987="Positif","TP","FN"),IF(AF987="Positif","FP","TN")))</x:f>
      </x:c>
    </x:row>
    <x:row r="988">
      <x:c r="A988" s="32"/>
      <x:c r="B988" s="32"/>
      <x:c r="C988" s="32"/>
      <x:c r="D988" s="35"/>
      <x:c r="E988" s="32"/>
      <x:c r="F988" s="32"/>
      <x:c r="G988" s="32"/>
      <x:c r="H988" s="32"/>
      <x:c r="I988" s="32"/>
      <x:c r="J988" s="32"/>
      <x:c r="K988" s="32"/>
      <x:c r="L988" s="32"/>
      <x:c r="M988" s="32"/>
      <x:c r="N988" s="37"/>
      <x:c r="O988" s="32"/>
      <x:c r="P988" s="40"/>
      <x:c r="Q988" s="40"/>
      <x:c r="R988" s="41" t="str">
        <x:f>IF(OR(P988="",Q988=""),"",P988-Q988)</x:f>
      </x:c>
      <x:c r="S988" s="32"/>
      <x:c r="T988" s="32"/>
      <x:c r="U988" s="32"/>
      <x:c r="V988" s="32"/>
      <x:c r="W988" s="32"/>
      <x:c r="X988" s="32"/>
      <x:c r="Y988" s="43" t="str">
        <x:f>IF(OR(X988="",X988="Pending"),"",IF(X988="Rejected",0,IF(AND(U988="Ya",V988="Ya",W988="Ya"),1,"")))</x:f>
      </x:c>
      <x:c r="AA988" s="32"/>
      <x:c r="AB988" s="32"/>
      <x:c r="AC988" s="32"/>
      <x:c r="AD988" s="32"/>
      <x:c r="AE988" s="32"/>
      <x:c r="AF988" s="32"/>
      <x:c r="AG988" s="33" t="str">
        <x:f>IF(OR(AE988="",AF988=""),"",IF(AE988="Positif",IF(AF988="Positif","TP","FN"),IF(AF988="Positif","FP","TN")))</x:f>
      </x:c>
    </x:row>
    <x:row r="989">
      <x:c r="A989" s="32"/>
      <x:c r="B989" s="32"/>
      <x:c r="C989" s="32"/>
      <x:c r="D989" s="35"/>
      <x:c r="E989" s="32"/>
      <x:c r="F989" s="32"/>
      <x:c r="G989" s="32"/>
      <x:c r="H989" s="32"/>
      <x:c r="I989" s="32"/>
      <x:c r="J989" s="32"/>
      <x:c r="K989" s="32"/>
      <x:c r="L989" s="32"/>
      <x:c r="M989" s="32"/>
      <x:c r="N989" s="37"/>
      <x:c r="O989" s="32"/>
      <x:c r="P989" s="40"/>
      <x:c r="Q989" s="40"/>
      <x:c r="R989" s="41" t="str">
        <x:f>IF(OR(P989="",Q989=""),"",P989-Q989)</x:f>
      </x:c>
      <x:c r="S989" s="32"/>
      <x:c r="T989" s="32"/>
      <x:c r="U989" s="32"/>
      <x:c r="V989" s="32"/>
      <x:c r="W989" s="32"/>
      <x:c r="X989" s="32"/>
      <x:c r="Y989" s="43" t="str">
        <x:f>IF(OR(X989="",X989="Pending"),"",IF(X989="Rejected",0,IF(AND(U989="Ya",V989="Ya",W989="Ya"),1,"")))</x:f>
      </x:c>
      <x:c r="AA989" s="32"/>
      <x:c r="AB989" s="32"/>
      <x:c r="AC989" s="32"/>
      <x:c r="AD989" s="32"/>
      <x:c r="AE989" s="32"/>
      <x:c r="AF989" s="32"/>
      <x:c r="AG989" s="33" t="str">
        <x:f>IF(OR(AE989="",AF989=""),"",IF(AE989="Positif",IF(AF989="Positif","TP","FN"),IF(AF989="Positif","FP","TN")))</x:f>
      </x:c>
    </x:row>
    <x:row r="990">
      <x:c r="A990" s="32"/>
      <x:c r="B990" s="32"/>
      <x:c r="C990" s="32"/>
      <x:c r="D990" s="35"/>
      <x:c r="E990" s="32"/>
      <x:c r="F990" s="32"/>
      <x:c r="G990" s="32"/>
      <x:c r="H990" s="32"/>
      <x:c r="I990" s="32"/>
      <x:c r="J990" s="32"/>
      <x:c r="K990" s="32"/>
      <x:c r="L990" s="32"/>
      <x:c r="M990" s="32"/>
      <x:c r="N990" s="37"/>
      <x:c r="O990" s="32"/>
      <x:c r="P990" s="40"/>
      <x:c r="Q990" s="40"/>
      <x:c r="R990" s="41" t="str">
        <x:f>IF(OR(P990="",Q990=""),"",P990-Q990)</x:f>
      </x:c>
      <x:c r="S990" s="32"/>
      <x:c r="T990" s="32"/>
      <x:c r="U990" s="32"/>
      <x:c r="V990" s="32"/>
      <x:c r="W990" s="32"/>
      <x:c r="X990" s="32"/>
      <x:c r="Y990" s="43" t="str">
        <x:f>IF(OR(X990="",X990="Pending"),"",IF(X990="Rejected",0,IF(AND(U990="Ya",V990="Ya",W990="Ya"),1,"")))</x:f>
      </x:c>
      <x:c r="AA990" s="32"/>
      <x:c r="AB990" s="32"/>
      <x:c r="AC990" s="32"/>
      <x:c r="AD990" s="32"/>
      <x:c r="AE990" s="32"/>
      <x:c r="AF990" s="32"/>
      <x:c r="AG990" s="33" t="str">
        <x:f>IF(OR(AE990="",AF990=""),"",IF(AE990="Positif",IF(AF990="Positif","TP","FN"),IF(AF990="Positif","FP","TN")))</x:f>
      </x:c>
    </x:row>
    <x:row r="991">
      <x:c r="A991" s="32"/>
      <x:c r="B991" s="32"/>
      <x:c r="C991" s="32"/>
      <x:c r="D991" s="35"/>
      <x:c r="E991" s="32"/>
      <x:c r="F991" s="32"/>
      <x:c r="G991" s="32"/>
      <x:c r="H991" s="32"/>
      <x:c r="I991" s="32"/>
      <x:c r="J991" s="32"/>
      <x:c r="K991" s="32"/>
      <x:c r="L991" s="32"/>
      <x:c r="M991" s="32"/>
      <x:c r="N991" s="37"/>
      <x:c r="O991" s="32"/>
      <x:c r="P991" s="40"/>
      <x:c r="Q991" s="40"/>
      <x:c r="R991" s="41" t="str">
        <x:f>IF(OR(P991="",Q991=""),"",P991-Q991)</x:f>
      </x:c>
      <x:c r="S991" s="32"/>
      <x:c r="T991" s="32"/>
      <x:c r="U991" s="32"/>
      <x:c r="V991" s="32"/>
      <x:c r="W991" s="32"/>
      <x:c r="X991" s="32"/>
      <x:c r="Y991" s="43" t="str">
        <x:f>IF(OR(X991="",X991="Pending"),"",IF(X991="Rejected",0,IF(AND(U991="Ya",V991="Ya",W991="Ya"),1,"")))</x:f>
      </x:c>
      <x:c r="AA991" s="32"/>
      <x:c r="AB991" s="32"/>
      <x:c r="AC991" s="32"/>
      <x:c r="AD991" s="32"/>
      <x:c r="AE991" s="32"/>
      <x:c r="AF991" s="32"/>
      <x:c r="AG991" s="33" t="str">
        <x:f>IF(OR(AE991="",AF991=""),"",IF(AE991="Positif",IF(AF991="Positif","TP","FN"),IF(AF991="Positif","FP","TN")))</x:f>
      </x:c>
    </x:row>
    <x:row r="992">
      <x:c r="A992" s="32"/>
      <x:c r="B992" s="32"/>
      <x:c r="C992" s="32"/>
      <x:c r="D992" s="35"/>
      <x:c r="E992" s="32"/>
      <x:c r="F992" s="32"/>
      <x:c r="G992" s="32"/>
      <x:c r="H992" s="32"/>
      <x:c r="I992" s="32"/>
      <x:c r="J992" s="32"/>
      <x:c r="K992" s="32"/>
      <x:c r="L992" s="32"/>
      <x:c r="M992" s="32"/>
      <x:c r="N992" s="37"/>
      <x:c r="O992" s="32"/>
      <x:c r="P992" s="40"/>
      <x:c r="Q992" s="40"/>
      <x:c r="R992" s="41" t="str">
        <x:f>IF(OR(P992="",Q992=""),"",P992-Q992)</x:f>
      </x:c>
      <x:c r="S992" s="32"/>
      <x:c r="T992" s="32"/>
      <x:c r="U992" s="32"/>
      <x:c r="V992" s="32"/>
      <x:c r="W992" s="32"/>
      <x:c r="X992" s="32"/>
      <x:c r="Y992" s="43" t="str">
        <x:f>IF(OR(X992="",X992="Pending"),"",IF(X992="Rejected",0,IF(AND(U992="Ya",V992="Ya",W992="Ya"),1,"")))</x:f>
      </x:c>
      <x:c r="AA992" s="32"/>
      <x:c r="AB992" s="32"/>
      <x:c r="AC992" s="32"/>
      <x:c r="AD992" s="32"/>
      <x:c r="AE992" s="32"/>
      <x:c r="AF992" s="32"/>
      <x:c r="AG992" s="33" t="str">
        <x:f>IF(OR(AE992="",AF992=""),"",IF(AE992="Positif",IF(AF992="Positif","TP","FN"),IF(AF992="Positif","FP","TN")))</x:f>
      </x:c>
    </x:row>
    <x:row r="993">
      <x:c r="A993" s="32"/>
      <x:c r="B993" s="32"/>
      <x:c r="C993" s="32"/>
      <x:c r="D993" s="35"/>
      <x:c r="E993" s="32"/>
      <x:c r="F993" s="32"/>
      <x:c r="G993" s="32"/>
      <x:c r="H993" s="32"/>
      <x:c r="I993" s="32"/>
      <x:c r="J993" s="32"/>
      <x:c r="K993" s="32"/>
      <x:c r="L993" s="32"/>
      <x:c r="M993" s="32"/>
      <x:c r="N993" s="37"/>
      <x:c r="O993" s="32"/>
      <x:c r="P993" s="40"/>
      <x:c r="Q993" s="40"/>
      <x:c r="R993" s="41" t="str">
        <x:f>IF(OR(P993="",Q993=""),"",P993-Q993)</x:f>
      </x:c>
      <x:c r="S993" s="32"/>
      <x:c r="T993" s="32"/>
      <x:c r="U993" s="32"/>
      <x:c r="V993" s="32"/>
      <x:c r="W993" s="32"/>
      <x:c r="X993" s="32"/>
      <x:c r="Y993" s="43" t="str">
        <x:f>IF(OR(X993="",X993="Pending"),"",IF(X993="Rejected",0,IF(AND(U993="Ya",V993="Ya",W993="Ya"),1,"")))</x:f>
      </x:c>
      <x:c r="AA993" s="32"/>
      <x:c r="AB993" s="32"/>
      <x:c r="AC993" s="32"/>
      <x:c r="AD993" s="32"/>
      <x:c r="AE993" s="32"/>
      <x:c r="AF993" s="32"/>
      <x:c r="AG993" s="33" t="str">
        <x:f>IF(OR(AE993="",AF993=""),"",IF(AE993="Positif",IF(AF993="Positif","TP","FN"),IF(AF993="Positif","FP","TN")))</x:f>
      </x:c>
    </x:row>
    <x:row r="994">
      <x:c r="A994" s="32"/>
      <x:c r="B994" s="32"/>
      <x:c r="C994" s="32"/>
      <x:c r="D994" s="35"/>
      <x:c r="E994" s="32"/>
      <x:c r="F994" s="32"/>
      <x:c r="G994" s="32"/>
      <x:c r="H994" s="32"/>
      <x:c r="I994" s="32"/>
      <x:c r="J994" s="32"/>
      <x:c r="K994" s="32"/>
      <x:c r="L994" s="32"/>
      <x:c r="M994" s="32"/>
      <x:c r="N994" s="37"/>
      <x:c r="O994" s="32"/>
      <x:c r="P994" s="40"/>
      <x:c r="Q994" s="40"/>
      <x:c r="R994" s="41" t="str">
        <x:f>IF(OR(P994="",Q994=""),"",P994-Q994)</x:f>
      </x:c>
      <x:c r="S994" s="32"/>
      <x:c r="T994" s="32"/>
      <x:c r="U994" s="32"/>
      <x:c r="V994" s="32"/>
      <x:c r="W994" s="32"/>
      <x:c r="X994" s="32"/>
      <x:c r="Y994" s="43" t="str">
        <x:f>IF(OR(X994="",X994="Pending"),"",IF(X994="Rejected",0,IF(AND(U994="Ya",V994="Ya",W994="Ya"),1,"")))</x:f>
      </x:c>
      <x:c r="AA994" s="32"/>
      <x:c r="AB994" s="32"/>
      <x:c r="AC994" s="32"/>
      <x:c r="AD994" s="32"/>
      <x:c r="AE994" s="32"/>
      <x:c r="AF994" s="32"/>
      <x:c r="AG994" s="33" t="str">
        <x:f>IF(OR(AE994="",AF994=""),"",IF(AE994="Positif",IF(AF994="Positif","TP","FN"),IF(AF994="Positif","FP","TN")))</x:f>
      </x:c>
    </x:row>
    <x:row r="995">
      <x:c r="A995" s="32"/>
      <x:c r="B995" s="32"/>
      <x:c r="C995" s="32"/>
      <x:c r="D995" s="35"/>
      <x:c r="E995" s="32"/>
      <x:c r="F995" s="32"/>
      <x:c r="G995" s="32"/>
      <x:c r="H995" s="32"/>
      <x:c r="I995" s="32"/>
      <x:c r="J995" s="32"/>
      <x:c r="K995" s="32"/>
      <x:c r="L995" s="32"/>
      <x:c r="M995" s="32"/>
      <x:c r="N995" s="37"/>
      <x:c r="O995" s="32"/>
      <x:c r="P995" s="40"/>
      <x:c r="Q995" s="40"/>
      <x:c r="R995" s="41" t="str">
        <x:f>IF(OR(P995="",Q995=""),"",P995-Q995)</x:f>
      </x:c>
      <x:c r="S995" s="32"/>
      <x:c r="T995" s="32"/>
      <x:c r="U995" s="32"/>
      <x:c r="V995" s="32"/>
      <x:c r="W995" s="32"/>
      <x:c r="X995" s="32"/>
      <x:c r="Y995" s="43" t="str">
        <x:f>IF(OR(X995="",X995="Pending"),"",IF(X995="Rejected",0,IF(AND(U995="Ya",V995="Ya",W995="Ya"),1,"")))</x:f>
      </x:c>
      <x:c r="AA995" s="32"/>
      <x:c r="AB995" s="32"/>
      <x:c r="AC995" s="32"/>
      <x:c r="AD995" s="32"/>
      <x:c r="AE995" s="32"/>
      <x:c r="AF995" s="32"/>
      <x:c r="AG995" s="33" t="str">
        <x:f>IF(OR(AE995="",AF995=""),"",IF(AE995="Positif",IF(AF995="Positif","TP","FN"),IF(AF995="Positif","FP","TN")))</x:f>
      </x:c>
    </x:row>
    <x:row r="996">
      <x:c r="A996" s="32"/>
      <x:c r="B996" s="32"/>
      <x:c r="C996" s="32"/>
      <x:c r="D996" s="35"/>
      <x:c r="E996" s="32"/>
      <x:c r="F996" s="32"/>
      <x:c r="G996" s="32"/>
      <x:c r="H996" s="32"/>
      <x:c r="I996" s="32"/>
      <x:c r="J996" s="32"/>
      <x:c r="K996" s="32"/>
      <x:c r="L996" s="32"/>
      <x:c r="M996" s="32"/>
      <x:c r="N996" s="37"/>
      <x:c r="O996" s="32"/>
      <x:c r="P996" s="40"/>
      <x:c r="Q996" s="40"/>
      <x:c r="R996" s="41" t="str">
        <x:f>IF(OR(P996="",Q996=""),"",P996-Q996)</x:f>
      </x:c>
      <x:c r="S996" s="32"/>
      <x:c r="T996" s="32"/>
      <x:c r="U996" s="32"/>
      <x:c r="V996" s="32"/>
      <x:c r="W996" s="32"/>
      <x:c r="X996" s="32"/>
      <x:c r="Y996" s="43" t="str">
        <x:f>IF(OR(X996="",X996="Pending"),"",IF(X996="Rejected",0,IF(AND(U996="Ya",V996="Ya",W996="Ya"),1,"")))</x:f>
      </x:c>
      <x:c r="AA996" s="32"/>
      <x:c r="AB996" s="32"/>
      <x:c r="AC996" s="32"/>
      <x:c r="AD996" s="32"/>
      <x:c r="AE996" s="32"/>
      <x:c r="AF996" s="32"/>
      <x:c r="AG996" s="33" t="str">
        <x:f>IF(OR(AE996="",AF996=""),"",IF(AE996="Positif",IF(AF996="Positif","TP","FN"),IF(AF996="Positif","FP","TN")))</x:f>
      </x:c>
    </x:row>
    <x:row r="997">
      <x:c r="A997" s="32"/>
      <x:c r="B997" s="32"/>
      <x:c r="C997" s="32"/>
      <x:c r="D997" s="35"/>
      <x:c r="E997" s="32"/>
      <x:c r="F997" s="32"/>
      <x:c r="G997" s="32"/>
      <x:c r="H997" s="32"/>
      <x:c r="I997" s="32"/>
      <x:c r="J997" s="32"/>
      <x:c r="K997" s="32"/>
      <x:c r="L997" s="32"/>
      <x:c r="M997" s="32"/>
      <x:c r="N997" s="37"/>
      <x:c r="O997" s="32"/>
      <x:c r="P997" s="40"/>
      <x:c r="Q997" s="40"/>
      <x:c r="R997" s="41" t="str">
        <x:f>IF(OR(P997="",Q997=""),"",P997-Q997)</x:f>
      </x:c>
      <x:c r="S997" s="32"/>
      <x:c r="T997" s="32"/>
      <x:c r="U997" s="32"/>
      <x:c r="V997" s="32"/>
      <x:c r="W997" s="32"/>
      <x:c r="X997" s="32"/>
      <x:c r="Y997" s="43" t="str">
        <x:f>IF(OR(X997="",X997="Pending"),"",IF(X997="Rejected",0,IF(AND(U997="Ya",V997="Ya",W997="Ya"),1,"")))</x:f>
      </x:c>
      <x:c r="AA997" s="32"/>
      <x:c r="AB997" s="32"/>
      <x:c r="AC997" s="32"/>
      <x:c r="AD997" s="32"/>
      <x:c r="AE997" s="32"/>
      <x:c r="AF997" s="32"/>
      <x:c r="AG997" s="33" t="str">
        <x:f>IF(OR(AE997="",AF997=""),"",IF(AE997="Positif",IF(AF997="Positif","TP","FN"),IF(AF997="Positif","FP","TN")))</x:f>
      </x:c>
    </x:row>
    <x:row r="998">
      <x:c r="A998" s="32"/>
      <x:c r="B998" s="32"/>
      <x:c r="C998" s="32"/>
      <x:c r="D998" s="35"/>
      <x:c r="E998" s="32"/>
      <x:c r="F998" s="32"/>
      <x:c r="G998" s="32"/>
      <x:c r="H998" s="32"/>
      <x:c r="I998" s="32"/>
      <x:c r="J998" s="32"/>
      <x:c r="K998" s="32"/>
      <x:c r="L998" s="32"/>
      <x:c r="M998" s="32"/>
      <x:c r="N998" s="37"/>
      <x:c r="O998" s="32"/>
      <x:c r="P998" s="40"/>
      <x:c r="Q998" s="40"/>
      <x:c r="R998" s="41" t="str">
        <x:f>IF(OR(P998="",Q998=""),"",P998-Q998)</x:f>
      </x:c>
      <x:c r="S998" s="32"/>
      <x:c r="T998" s="32"/>
      <x:c r="U998" s="32"/>
      <x:c r="V998" s="32"/>
      <x:c r="W998" s="32"/>
      <x:c r="X998" s="32"/>
      <x:c r="Y998" s="43" t="str">
        <x:f>IF(OR(X998="",X998="Pending"),"",IF(X998="Rejected",0,IF(AND(U998="Ya",V998="Ya",W998="Ya"),1,"")))</x:f>
      </x:c>
      <x:c r="AA998" s="32"/>
      <x:c r="AB998" s="32"/>
      <x:c r="AC998" s="32"/>
      <x:c r="AD998" s="32"/>
      <x:c r="AE998" s="32"/>
      <x:c r="AF998" s="32"/>
      <x:c r="AG998" s="33" t="str">
        <x:f>IF(OR(AE998="",AF998=""),"",IF(AE998="Positif",IF(AF998="Positif","TP","FN"),IF(AF998="Positif","FP","TN")))</x:f>
      </x:c>
    </x:row>
    <x:row r="999">
      <x:c r="A999" s="32"/>
      <x:c r="B999" s="32"/>
      <x:c r="C999" s="32"/>
      <x:c r="D999" s="35"/>
      <x:c r="E999" s="32"/>
      <x:c r="F999" s="32"/>
      <x:c r="G999" s="32"/>
      <x:c r="H999" s="32"/>
      <x:c r="I999" s="32"/>
      <x:c r="J999" s="32"/>
      <x:c r="K999" s="32"/>
      <x:c r="L999" s="32"/>
      <x:c r="M999" s="32"/>
      <x:c r="N999" s="37"/>
      <x:c r="O999" s="32"/>
      <x:c r="P999" s="40"/>
      <x:c r="Q999" s="40"/>
      <x:c r="R999" s="41" t="str">
        <x:f>IF(OR(P999="",Q999=""),"",P999-Q999)</x:f>
      </x:c>
      <x:c r="S999" s="32"/>
      <x:c r="T999" s="32"/>
      <x:c r="U999" s="32"/>
      <x:c r="V999" s="32"/>
      <x:c r="W999" s="32"/>
      <x:c r="X999" s="32"/>
      <x:c r="Y999" s="43" t="str">
        <x:f>IF(OR(X999="",X999="Pending"),"",IF(X999="Rejected",0,IF(AND(U999="Ya",V999="Ya",W999="Ya"),1,"")))</x:f>
      </x:c>
      <x:c r="AA999" s="32"/>
      <x:c r="AB999" s="32"/>
      <x:c r="AC999" s="32"/>
      <x:c r="AD999" s="32"/>
      <x:c r="AE999" s="32"/>
      <x:c r="AF999" s="32"/>
      <x:c r="AG999" s="33" t="str">
        <x:f>IF(OR(AE999="",AF999=""),"",IF(AE999="Positif",IF(AF999="Positif","TP","FN"),IF(AF999="Positif","FP","TN")))</x:f>
      </x:c>
    </x:row>
    <x:row r="1000">
      <x:c r="A1000" s="32"/>
      <x:c r="B1000" s="32"/>
      <x:c r="C1000" s="32"/>
      <x:c r="D1000" s="35"/>
      <x:c r="E1000" s="32"/>
      <x:c r="F1000" s="32"/>
      <x:c r="G1000" s="32"/>
      <x:c r="H1000" s="32"/>
      <x:c r="I1000" s="32"/>
      <x:c r="J1000" s="32"/>
      <x:c r="K1000" s="32"/>
      <x:c r="L1000" s="32"/>
      <x:c r="M1000" s="32"/>
      <x:c r="N1000" s="37"/>
      <x:c r="O1000" s="32"/>
      <x:c r="P1000" s="40"/>
      <x:c r="Q1000" s="40"/>
      <x:c r="R1000" s="41" t="str">
        <x:f>IF(OR(P1000="",Q1000=""),"",P1000-Q1000)</x:f>
      </x:c>
      <x:c r="S1000" s="32"/>
      <x:c r="T1000" s="32"/>
      <x:c r="U1000" s="32"/>
      <x:c r="V1000" s="32"/>
      <x:c r="W1000" s="32"/>
      <x:c r="X1000" s="32"/>
      <x:c r="Y1000" s="43" t="str">
        <x:f>IF(OR(X1000="",X1000="Pending"),"",IF(X1000="Rejected",0,IF(AND(U1000="Ya",V1000="Ya",W1000="Ya"),1,"")))</x:f>
      </x:c>
      <x:c r="AA1000" s="32"/>
      <x:c r="AB1000" s="32"/>
      <x:c r="AC1000" s="32"/>
      <x:c r="AD1000" s="32"/>
      <x:c r="AE1000" s="32"/>
      <x:c r="AF1000" s="32"/>
      <x:c r="AG1000" s="33" t="str">
        <x:f>IF(OR(AE1000="",AF1000=""),"",IF(AE1000="Positif",IF(AF1000="Positif","TP","FN"),IF(AF1000="Positif","FP","TN")))</x:f>
      </x:c>
    </x:row>
    <x:row r="1001">
      <x:c r="A1001" s="32"/>
      <x:c r="B1001" s="32"/>
      <x:c r="C1001" s="32"/>
      <x:c r="D1001" s="35"/>
      <x:c r="E1001" s="32"/>
      <x:c r="F1001" s="32"/>
      <x:c r="G1001" s="32"/>
      <x:c r="H1001" s="32"/>
      <x:c r="I1001" s="32"/>
      <x:c r="J1001" s="32"/>
      <x:c r="K1001" s="32"/>
      <x:c r="L1001" s="32"/>
      <x:c r="M1001" s="32"/>
      <x:c r="N1001" s="37"/>
      <x:c r="O1001" s="32"/>
      <x:c r="P1001" s="40"/>
      <x:c r="Q1001" s="40"/>
      <x:c r="R1001" s="41" t="str">
        <x:f>IF(OR(P1001="",Q1001=""),"",P1001-Q1001)</x:f>
      </x:c>
      <x:c r="S1001" s="32"/>
      <x:c r="T1001" s="32"/>
      <x:c r="U1001" s="32"/>
      <x:c r="V1001" s="32"/>
      <x:c r="W1001" s="32"/>
      <x:c r="X1001" s="32"/>
      <x:c r="Y1001" s="43" t="str">
        <x:f>IF(OR(X1001="",X1001="Pending"),"",IF(X1001="Rejected",0,IF(AND(U1001="Ya",V1001="Ya",W1001="Ya"),1,"")))</x:f>
      </x:c>
      <x:c r="AA1001" s="32"/>
      <x:c r="AB1001" s="32"/>
      <x:c r="AC1001" s="32"/>
      <x:c r="AD1001" s="32"/>
      <x:c r="AE1001" s="32"/>
      <x:c r="AF1001" s="32"/>
      <x:c r="AG1001" s="33" t="str">
        <x:f>IF(OR(AE1001="",AF1001=""),"",IF(AE1001="Positif",IF(AF1001="Positif","TP","FN"),IF(AF1001="Positif","FP","TN")))</x:f>
      </x:c>
    </x:row>
    <x:row r="1002">
      <x:c r="A1002" s="32"/>
      <x:c r="B1002" s="32"/>
      <x:c r="C1002" s="32"/>
      <x:c r="D1002" s="35"/>
      <x:c r="E1002" s="32"/>
      <x:c r="F1002" s="32"/>
      <x:c r="G1002" s="32"/>
      <x:c r="H1002" s="32"/>
      <x:c r="I1002" s="32"/>
      <x:c r="J1002" s="32"/>
      <x:c r="K1002" s="32"/>
      <x:c r="L1002" s="32"/>
      <x:c r="M1002" s="32"/>
      <x:c r="N1002" s="37"/>
      <x:c r="O1002" s="32"/>
      <x:c r="P1002" s="40"/>
      <x:c r="Q1002" s="40"/>
      <x:c r="R1002" s="41" t="str">
        <x:f>IF(OR(P1002="",Q1002=""),"",P1002-Q1002)</x:f>
      </x:c>
      <x:c r="S1002" s="32"/>
      <x:c r="T1002" s="32"/>
      <x:c r="U1002" s="32"/>
      <x:c r="V1002" s="32"/>
      <x:c r="W1002" s="32"/>
      <x:c r="X1002" s="32"/>
      <x:c r="Y1002" s="43" t="str">
        <x:f>IF(OR(X1002="",X1002="Pending"),"",IF(X1002="Rejected",0,IF(AND(U1002="Ya",V1002="Ya",W1002="Ya"),1,"")))</x:f>
      </x:c>
      <x:c r="AA1002" s="32"/>
      <x:c r="AB1002" s="32"/>
      <x:c r="AC1002" s="32"/>
      <x:c r="AD1002" s="32"/>
      <x:c r="AE1002" s="32"/>
      <x:c r="AF1002" s="32"/>
      <x:c r="AG1002" s="33" t="str">
        <x:f>IF(OR(AE1002="",AF1002=""),"",IF(AE1002="Positif",IF(AF1002="Positif","TP","FN"),IF(AF1002="Positif","FP","TN")))</x:f>
      </x:c>
    </x:row>
    <x:row r="1003">
      <x:c r="A1003" s="32"/>
      <x:c r="B1003" s="32"/>
      <x:c r="C1003" s="32"/>
      <x:c r="D1003" s="35"/>
      <x:c r="E1003" s="32"/>
      <x:c r="F1003" s="32"/>
      <x:c r="G1003" s="32"/>
      <x:c r="H1003" s="32"/>
      <x:c r="I1003" s="32"/>
      <x:c r="J1003" s="32"/>
      <x:c r="K1003" s="32"/>
      <x:c r="L1003" s="32"/>
      <x:c r="M1003" s="32"/>
      <x:c r="N1003" s="37"/>
      <x:c r="O1003" s="32"/>
      <x:c r="P1003" s="40"/>
      <x:c r="Q1003" s="40"/>
      <x:c r="R1003" s="41" t="str">
        <x:f>IF(OR(P1003="",Q1003=""),"",P1003-Q1003)</x:f>
      </x:c>
      <x:c r="S1003" s="32"/>
      <x:c r="T1003" s="32"/>
      <x:c r="U1003" s="32"/>
      <x:c r="V1003" s="32"/>
      <x:c r="W1003" s="32"/>
      <x:c r="X1003" s="32"/>
      <x:c r="Y1003" s="43" t="str">
        <x:f>IF(OR(X1003="",X1003="Pending"),"",IF(X1003="Rejected",0,IF(AND(U1003="Ya",V1003="Ya",W1003="Ya"),1,"")))</x:f>
      </x:c>
      <x:c r="AA1003" s="32"/>
      <x:c r="AB1003" s="32"/>
      <x:c r="AC1003" s="32"/>
      <x:c r="AD1003" s="32"/>
      <x:c r="AE1003" s="32"/>
      <x:c r="AF1003" s="32"/>
      <x:c r="AG1003" s="33" t="str">
        <x:f>IF(OR(AE1003="",AF1003=""),"",IF(AE1003="Positif",IF(AF1003="Positif","TP","FN"),IF(AF1003="Positif","FP","TN")))</x:f>
      </x:c>
    </x:row>
    <x:row r="1004">
      <x:c r="A1004" s="32"/>
      <x:c r="B1004" s="32"/>
      <x:c r="C1004" s="32"/>
      <x:c r="D1004" s="35"/>
      <x:c r="E1004" s="32"/>
      <x:c r="F1004" s="32"/>
      <x:c r="G1004" s="32"/>
      <x:c r="H1004" s="32"/>
      <x:c r="I1004" s="32"/>
      <x:c r="J1004" s="32"/>
      <x:c r="K1004" s="32"/>
      <x:c r="L1004" s="32"/>
      <x:c r="M1004" s="32"/>
      <x:c r="N1004" s="37"/>
      <x:c r="O1004" s="32"/>
      <x:c r="P1004" s="40"/>
      <x:c r="Q1004" s="40"/>
      <x:c r="R1004" s="41" t="str">
        <x:f>IF(OR(P1004="",Q1004=""),"",P1004-Q1004)</x:f>
      </x:c>
      <x:c r="S1004" s="32"/>
      <x:c r="T1004" s="32"/>
      <x:c r="U1004" s="32"/>
      <x:c r="V1004" s="32"/>
      <x:c r="W1004" s="32"/>
      <x:c r="X1004" s="32"/>
      <x:c r="Y1004" s="43" t="str">
        <x:f>IF(OR(X1004="",X1004="Pending"),"",IF(X1004="Rejected",0,IF(AND(U1004="Ya",V1004="Ya",W1004="Ya"),1,"")))</x:f>
      </x:c>
      <x:c r="AA1004" s="32"/>
      <x:c r="AB1004" s="32"/>
      <x:c r="AC1004" s="32"/>
      <x:c r="AD1004" s="32"/>
      <x:c r="AE1004" s="32"/>
      <x:c r="AF1004" s="32"/>
      <x:c r="AG1004" s="33" t="str">
        <x:f>IF(OR(AE1004="",AF1004=""),"",IF(AE1004="Positif",IF(AF1004="Positif","TP","FN"),IF(AF1004="Positif","FP","TN")))</x:f>
      </x:c>
    </x:row>
  </x:sheetData>
  <x:mergeCells>
    <x:mergeCell ref="A1:AG1"/>
    <x:mergeCell ref="A2:Y2"/>
    <x:mergeCell ref="AA2:AG2"/>
  </x:mergeCells>
  <x:dataValidations count="12">
    <x:dataValidation type="list" sqref="C5:C1004">
      <x:formula1>"1,2,3"</x:formula1>
    </x:dataValidation>
    <x:dataValidation type="list" sqref="J5:J1004">
      <x:formula1>"LLM,SecLists"</x:formula1>
    </x:dataValidation>
    <x:dataValidation type="list" sqref="K5:K1004">
      <x:formula1>"On,Off,Not applicable"</x:formula1>
    </x:dataValidation>
    <x:dataValidation type="list" sqref="S5:S1004">
      <x:formula1>"Positif,Negatif,Tidak yakin"</x:formula1>
    </x:dataValidation>
    <x:dataValidation type="list" sqref="U5:W1004">
      <x:formula1>"Ya,Tidak,Belum dinilai"</x:formula1>
    </x:dataValidation>
    <x:dataValidation type="list" sqref="X5:X1004">
      <x:formula1>"Confirmed,Rejected,Pending"</x:formula1>
    </x:dataValidation>
    <x:dataValidation type="list" sqref="AB5:AB1004">
      <x:formula1>"1,2,3"</x:formula1>
    </x:dataValidation>
    <x:dataValidation type="list" sqref="AC5:AC1004">
      <x:formula1>"On,Off"</x:formula1>
    </x:dataValidation>
    <x:dataValidation type="list" sqref="AD5:AD1004">
      <x:formula1>"On,Off"</x:formula1>
    </x:dataValidation>
    <x:dataValidation type="list" sqref="AE5:AF1004">
      <x:formula1>"Positif,Negatif"</x:formula1>
    </x:dataValidation>
    <x:dataValidation type="list" sqref="B5:B1004">
      <x:formula1>"S1,S2,S3,S4,S5,S6,S7,S8,S9,S10,S11,S12"</x:formula1>
    </x:dataValidation>
    <x:dataValidation type="list" sqref="AA5:AA1004">
      <x:formula1>"S1,S2,S3,S4,S5,S6,S7,S8,S9,S10,S11,S12"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c6759168cca4e46"/>
    <x:tablePart xmlns:r="http://schemas.openxmlformats.org/officeDocument/2006/relationships" r:id="Re7cbe95586f14ede"/>
  </x:tableParts>
</x:worksheet>
</file>